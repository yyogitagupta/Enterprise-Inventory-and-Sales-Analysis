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tables/table4.xml" ContentType="application/vnd.openxmlformats-officedocument.spreadsheetml.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mc:AlternateContent xmlns:mc="http://schemas.openxmlformats.org/markup-compatibility/2006">
    <mc:Choice Requires="x15">
      <x15ac:absPath xmlns:x15ac="http://schemas.microsoft.com/office/spreadsheetml/2010/11/ac" url="C:\Users\yogit\Downloads\"/>
    </mc:Choice>
  </mc:AlternateContent>
  <xr:revisionPtr revIDLastSave="0" documentId="13_ncr:1_{E87CCEE6-9ED0-4CE5-B782-B62197153883}" xr6:coauthVersionLast="47" xr6:coauthVersionMax="47" xr10:uidLastSave="{00000000-0000-0000-0000-000000000000}"/>
  <bookViews>
    <workbookView xWindow="-108" yWindow="-108" windowWidth="23256" windowHeight="12456" xr2:uid="{00000000-000D-0000-FFFF-FFFF00000000}"/>
  </bookViews>
  <sheets>
    <sheet name="Dashboard" sheetId="17" r:id="rId1"/>
    <sheet name="Clean_Sales_Data" sheetId="5" r:id="rId2"/>
    <sheet name="Clean_Inventry_Master" sheetId="7" r:id="rId3"/>
    <sheet name="Raw_Inventory_Master" sheetId="1" r:id="rId4"/>
    <sheet name="Raw_Sales_Data" sheetId="4" r:id="rId5"/>
    <sheet name="chart 1" sheetId="10" r:id="rId6"/>
    <sheet name="monthly revenue" sheetId="15" r:id="rId7"/>
    <sheet name="sales channel revenue" sheetId="13" r:id="rId8"/>
  </sheets>
  <definedNames>
    <definedName name="_xlcn.WorksheetConnection_Enterprise_Inventory_and_Sales_Data.xlsxcleaned_sales_data_1" hidden="1">cleaned_sales_data_[]</definedName>
    <definedName name="_xlcn.WorksheetConnection_Enterprise_Inventory_and_Sales_Data.xlsxcleaned_sales_data1" hidden="1">cleaned_sales_data[]</definedName>
    <definedName name="_xlcn.WorksheetConnection_Enterprise_Inventory_and_Sales_Data.xlsxInventry_Master_11" hidden="1">Inventry_Master_1[]</definedName>
    <definedName name="chart5">'sales channel revenue'!$G$8</definedName>
    <definedName name="ExternalData_1" localSheetId="2" hidden="1">Clean_Inventry_Master!$A$1:$G$31</definedName>
    <definedName name="ExternalData_1" localSheetId="1" hidden="1">Clean_Sales_Data!$A$1:$F$851</definedName>
    <definedName name="NativeTimeline_True_Date">#N/A</definedName>
    <definedName name="Slicer_Region">#N/A</definedName>
  </definedNames>
  <calcPr calcId="191029"/>
  <pivotCaches>
    <pivotCache cacheId="2" r:id="rId9"/>
    <pivotCache cacheId="60" r:id="rId10"/>
  </pivotCaches>
  <extLst>
    <ext xmlns:x14="http://schemas.microsoft.com/office/spreadsheetml/2009/9/main" uri="{BBE1A952-AA13-448e-AADC-164F8A28A991}">
      <x14:slicerCaches>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15="http://schemas.microsoft.com/office/spreadsheetml/2010/11/main" uri="{FCE2AD5D-F65C-4FA6-A056-5C36A1767C68}">
      <x15:dataModel>
        <x15:modelTables>
          <x15:modelTable id="Inventry_Master_1" name="Inventry_Master_1" connection="WorksheetConnection_Enterprise_Inventory_and_Sales_Data.xlsx!Inventry_Master_1"/>
          <x15:modelTable id="cleaned_sales_data_" name="cleaned_sales_data_" connection="WorksheetConnection_Enterprise_Inventory_and_Sales_Data.xlsx!cleaned_sales_data_"/>
          <x15:modelTable id="cleaned_sales_data" name="cleaned_sales_data" connection="WorksheetConnection_Enterprise_Inventory_and_Sales_Data.xlsx!cleaned_sales_data"/>
        </x15:modelTables>
        <x15:modelRelationships>
          <x15:modelRelationship fromTable="cleaned_sales_data_" fromColumn="Product ID" toTable="Inventry_Master_1" toColumn="Product ID"/>
          <x15:modelRelationship fromTable="cleaned_sales_data" fromColumn="Product ID" toTable="Inventry_Master_1" toColumn="Product 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35" i="7" l="1"/>
  <c r="K33" i="7"/>
  <c r="G2" i="5"/>
  <c r="G3" i="5"/>
  <c r="G4" i="5"/>
  <c r="G5" i="5"/>
  <c r="G6" i="5"/>
  <c r="G7" i="5"/>
  <c r="G8" i="5"/>
  <c r="G9" i="5"/>
  <c r="G10" i="5"/>
  <c r="G11" i="5"/>
  <c r="G12" i="5"/>
  <c r="G13" i="5"/>
  <c r="G14" i="5"/>
  <c r="G15" i="5"/>
  <c r="G16" i="5"/>
  <c r="G17" i="5"/>
  <c r="G18" i="5"/>
  <c r="G19" i="5"/>
  <c r="G20" i="5"/>
  <c r="G21" i="5"/>
  <c r="G22" i="5"/>
  <c r="G23" i="5"/>
  <c r="G24" i="5"/>
  <c r="G25" i="5"/>
  <c r="G26" i="5"/>
  <c r="G27" i="5"/>
  <c r="G28" i="5"/>
  <c r="G29" i="5"/>
  <c r="G30" i="5"/>
  <c r="G31" i="5"/>
  <c r="G32" i="5"/>
  <c r="G33" i="5"/>
  <c r="G34" i="5"/>
  <c r="G35" i="5"/>
  <c r="G36" i="5"/>
  <c r="G37" i="5"/>
  <c r="G38" i="5"/>
  <c r="G39" i="5"/>
  <c r="G40" i="5"/>
  <c r="G41" i="5"/>
  <c r="G42" i="5"/>
  <c r="G43" i="5"/>
  <c r="G44" i="5"/>
  <c r="G45" i="5"/>
  <c r="G46" i="5"/>
  <c r="G47" i="5"/>
  <c r="G48" i="5"/>
  <c r="G49" i="5"/>
  <c r="G50" i="5"/>
  <c r="G51" i="5"/>
  <c r="G52" i="5"/>
  <c r="G53" i="5"/>
  <c r="G54" i="5"/>
  <c r="G55" i="5"/>
  <c r="G56" i="5"/>
  <c r="G57" i="5"/>
  <c r="G58" i="5"/>
  <c r="G59" i="5"/>
  <c r="G60" i="5"/>
  <c r="G61" i="5"/>
  <c r="G62" i="5"/>
  <c r="G63" i="5"/>
  <c r="G64" i="5"/>
  <c r="G65" i="5"/>
  <c r="G66" i="5"/>
  <c r="G67" i="5"/>
  <c r="I67" i="5" s="1"/>
  <c r="J67" i="5" s="1"/>
  <c r="G68" i="5"/>
  <c r="I68" i="5" s="1"/>
  <c r="J68" i="5" s="1"/>
  <c r="G69" i="5"/>
  <c r="I69" i="5" s="1"/>
  <c r="J69" i="5" s="1"/>
  <c r="G70" i="5"/>
  <c r="I70" i="5" s="1"/>
  <c r="J70" i="5" s="1"/>
  <c r="G71" i="5"/>
  <c r="I71" i="5" s="1"/>
  <c r="J71" i="5" s="1"/>
  <c r="G72" i="5"/>
  <c r="I72" i="5" s="1"/>
  <c r="J72" i="5" s="1"/>
  <c r="G73" i="5"/>
  <c r="I73" i="5" s="1"/>
  <c r="J73" i="5" s="1"/>
  <c r="G74" i="5"/>
  <c r="I74" i="5" s="1"/>
  <c r="J74" i="5" s="1"/>
  <c r="G75" i="5"/>
  <c r="I75" i="5" s="1"/>
  <c r="J75" i="5" s="1"/>
  <c r="G76" i="5"/>
  <c r="I76" i="5" s="1"/>
  <c r="J76" i="5" s="1"/>
  <c r="G77" i="5"/>
  <c r="I77" i="5" s="1"/>
  <c r="J77" i="5" s="1"/>
  <c r="G78" i="5"/>
  <c r="I78" i="5" s="1"/>
  <c r="J78" i="5" s="1"/>
  <c r="G79" i="5"/>
  <c r="I79" i="5" s="1"/>
  <c r="J79" i="5" s="1"/>
  <c r="G80" i="5"/>
  <c r="I80" i="5" s="1"/>
  <c r="J80" i="5" s="1"/>
  <c r="G81" i="5"/>
  <c r="I81" i="5" s="1"/>
  <c r="J81" i="5" s="1"/>
  <c r="G82" i="5"/>
  <c r="I82" i="5" s="1"/>
  <c r="J82" i="5" s="1"/>
  <c r="G83" i="5"/>
  <c r="I83" i="5" s="1"/>
  <c r="J83" i="5" s="1"/>
  <c r="G84" i="5"/>
  <c r="I84" i="5" s="1"/>
  <c r="J84" i="5" s="1"/>
  <c r="G85" i="5"/>
  <c r="I85" i="5" s="1"/>
  <c r="J85" i="5" s="1"/>
  <c r="G86" i="5"/>
  <c r="I86" i="5" s="1"/>
  <c r="J86" i="5" s="1"/>
  <c r="G87" i="5"/>
  <c r="I87" i="5" s="1"/>
  <c r="J87" i="5" s="1"/>
  <c r="G88" i="5"/>
  <c r="I88" i="5" s="1"/>
  <c r="J88" i="5" s="1"/>
  <c r="G89" i="5"/>
  <c r="I89" i="5" s="1"/>
  <c r="J89" i="5" s="1"/>
  <c r="G90" i="5"/>
  <c r="I90" i="5" s="1"/>
  <c r="J90" i="5" s="1"/>
  <c r="G91" i="5"/>
  <c r="I91" i="5" s="1"/>
  <c r="J91" i="5" s="1"/>
  <c r="G92" i="5"/>
  <c r="I92" i="5" s="1"/>
  <c r="J92" i="5" s="1"/>
  <c r="G93" i="5"/>
  <c r="I93" i="5" s="1"/>
  <c r="J93" i="5" s="1"/>
  <c r="G94" i="5"/>
  <c r="I94" i="5" s="1"/>
  <c r="J94" i="5" s="1"/>
  <c r="G95" i="5"/>
  <c r="I95" i="5" s="1"/>
  <c r="J95" i="5" s="1"/>
  <c r="G96" i="5"/>
  <c r="I96" i="5" s="1"/>
  <c r="J96" i="5" s="1"/>
  <c r="G97" i="5"/>
  <c r="I97" i="5" s="1"/>
  <c r="J97" i="5" s="1"/>
  <c r="G98" i="5"/>
  <c r="I98" i="5" s="1"/>
  <c r="J98" i="5" s="1"/>
  <c r="G99" i="5"/>
  <c r="I99" i="5" s="1"/>
  <c r="J99" i="5" s="1"/>
  <c r="G100" i="5"/>
  <c r="I100" i="5" s="1"/>
  <c r="J100" i="5" s="1"/>
  <c r="G101" i="5"/>
  <c r="I101" i="5" s="1"/>
  <c r="J101" i="5" s="1"/>
  <c r="G102" i="5"/>
  <c r="I102" i="5" s="1"/>
  <c r="J102" i="5" s="1"/>
  <c r="G103" i="5"/>
  <c r="I103" i="5" s="1"/>
  <c r="J103" i="5" s="1"/>
  <c r="G104" i="5"/>
  <c r="I104" i="5" s="1"/>
  <c r="J104" i="5" s="1"/>
  <c r="G105" i="5"/>
  <c r="I105" i="5" s="1"/>
  <c r="J105" i="5" s="1"/>
  <c r="G106" i="5"/>
  <c r="I106" i="5" s="1"/>
  <c r="J106" i="5" s="1"/>
  <c r="G107" i="5"/>
  <c r="I107" i="5" s="1"/>
  <c r="J107" i="5" s="1"/>
  <c r="G108" i="5"/>
  <c r="I108" i="5" s="1"/>
  <c r="J108" i="5" s="1"/>
  <c r="G109" i="5"/>
  <c r="I109" i="5" s="1"/>
  <c r="J109" i="5" s="1"/>
  <c r="G110" i="5"/>
  <c r="I110" i="5" s="1"/>
  <c r="J110" i="5" s="1"/>
  <c r="G111" i="5"/>
  <c r="I111" i="5" s="1"/>
  <c r="J111" i="5" s="1"/>
  <c r="G112" i="5"/>
  <c r="I112" i="5" s="1"/>
  <c r="J112" i="5" s="1"/>
  <c r="G113" i="5"/>
  <c r="I113" i="5" s="1"/>
  <c r="J113" i="5" s="1"/>
  <c r="G114" i="5"/>
  <c r="I114" i="5" s="1"/>
  <c r="J114" i="5" s="1"/>
  <c r="G115" i="5"/>
  <c r="I115" i="5" s="1"/>
  <c r="J115" i="5" s="1"/>
  <c r="G116" i="5"/>
  <c r="I116" i="5" s="1"/>
  <c r="J116" i="5" s="1"/>
  <c r="G117" i="5"/>
  <c r="I117" i="5" s="1"/>
  <c r="J117" i="5" s="1"/>
  <c r="G118" i="5"/>
  <c r="I118" i="5" s="1"/>
  <c r="J118" i="5" s="1"/>
  <c r="G119" i="5"/>
  <c r="I119" i="5" s="1"/>
  <c r="J119" i="5" s="1"/>
  <c r="G120" i="5"/>
  <c r="I120" i="5" s="1"/>
  <c r="J120" i="5" s="1"/>
  <c r="G121" i="5"/>
  <c r="I121" i="5" s="1"/>
  <c r="J121" i="5" s="1"/>
  <c r="G122" i="5"/>
  <c r="I122" i="5" s="1"/>
  <c r="J122" i="5" s="1"/>
  <c r="G123" i="5"/>
  <c r="I123" i="5" s="1"/>
  <c r="J123" i="5" s="1"/>
  <c r="G124" i="5"/>
  <c r="I124" i="5" s="1"/>
  <c r="J124" i="5" s="1"/>
  <c r="G125" i="5"/>
  <c r="I125" i="5" s="1"/>
  <c r="J125" i="5" s="1"/>
  <c r="G126" i="5"/>
  <c r="I126" i="5" s="1"/>
  <c r="J126" i="5" s="1"/>
  <c r="G127" i="5"/>
  <c r="I127" i="5" s="1"/>
  <c r="J127" i="5" s="1"/>
  <c r="G128" i="5"/>
  <c r="I128" i="5" s="1"/>
  <c r="J128" i="5" s="1"/>
  <c r="G129" i="5"/>
  <c r="I129" i="5" s="1"/>
  <c r="J129" i="5" s="1"/>
  <c r="G130" i="5"/>
  <c r="I130" i="5" s="1"/>
  <c r="J130" i="5" s="1"/>
  <c r="G131" i="5"/>
  <c r="I131" i="5" s="1"/>
  <c r="J131" i="5" s="1"/>
  <c r="G132" i="5"/>
  <c r="I132" i="5" s="1"/>
  <c r="J132" i="5" s="1"/>
  <c r="G133" i="5"/>
  <c r="I133" i="5" s="1"/>
  <c r="J133" i="5" s="1"/>
  <c r="G134" i="5"/>
  <c r="I134" i="5" s="1"/>
  <c r="J134" i="5" s="1"/>
  <c r="G135" i="5"/>
  <c r="I135" i="5" s="1"/>
  <c r="J135" i="5" s="1"/>
  <c r="G136" i="5"/>
  <c r="I136" i="5" s="1"/>
  <c r="J136" i="5" s="1"/>
  <c r="G137" i="5"/>
  <c r="I137" i="5" s="1"/>
  <c r="J137" i="5" s="1"/>
  <c r="G138" i="5"/>
  <c r="I138" i="5" s="1"/>
  <c r="J138" i="5" s="1"/>
  <c r="G139" i="5"/>
  <c r="I139" i="5" s="1"/>
  <c r="J139" i="5" s="1"/>
  <c r="G140" i="5"/>
  <c r="I140" i="5" s="1"/>
  <c r="J140" i="5" s="1"/>
  <c r="G141" i="5"/>
  <c r="I141" i="5" s="1"/>
  <c r="J141" i="5" s="1"/>
  <c r="G142" i="5"/>
  <c r="I142" i="5" s="1"/>
  <c r="J142" i="5" s="1"/>
  <c r="G143" i="5"/>
  <c r="I143" i="5" s="1"/>
  <c r="J143" i="5" s="1"/>
  <c r="G144" i="5"/>
  <c r="I144" i="5" s="1"/>
  <c r="J144" i="5" s="1"/>
  <c r="G145" i="5"/>
  <c r="I145" i="5" s="1"/>
  <c r="J145" i="5" s="1"/>
  <c r="G146" i="5"/>
  <c r="I146" i="5" s="1"/>
  <c r="J146" i="5" s="1"/>
  <c r="G147" i="5"/>
  <c r="I147" i="5" s="1"/>
  <c r="J147" i="5" s="1"/>
  <c r="G148" i="5"/>
  <c r="I148" i="5" s="1"/>
  <c r="J148" i="5" s="1"/>
  <c r="G149" i="5"/>
  <c r="I149" i="5" s="1"/>
  <c r="J149" i="5" s="1"/>
  <c r="G150" i="5"/>
  <c r="I150" i="5" s="1"/>
  <c r="J150" i="5" s="1"/>
  <c r="G151" i="5"/>
  <c r="I151" i="5" s="1"/>
  <c r="J151" i="5" s="1"/>
  <c r="G152" i="5"/>
  <c r="I152" i="5" s="1"/>
  <c r="J152" i="5" s="1"/>
  <c r="G153" i="5"/>
  <c r="I153" i="5" s="1"/>
  <c r="J153" i="5" s="1"/>
  <c r="G154" i="5"/>
  <c r="I154" i="5" s="1"/>
  <c r="J154" i="5" s="1"/>
  <c r="G155" i="5"/>
  <c r="I155" i="5" s="1"/>
  <c r="J155" i="5" s="1"/>
  <c r="G156" i="5"/>
  <c r="I156" i="5" s="1"/>
  <c r="J156" i="5" s="1"/>
  <c r="G157" i="5"/>
  <c r="I157" i="5" s="1"/>
  <c r="J157" i="5" s="1"/>
  <c r="G158" i="5"/>
  <c r="I158" i="5" s="1"/>
  <c r="J158" i="5" s="1"/>
  <c r="G159" i="5"/>
  <c r="I159" i="5" s="1"/>
  <c r="J159" i="5" s="1"/>
  <c r="G160" i="5"/>
  <c r="I160" i="5" s="1"/>
  <c r="J160" i="5" s="1"/>
  <c r="G161" i="5"/>
  <c r="I161" i="5" s="1"/>
  <c r="J161" i="5" s="1"/>
  <c r="G162" i="5"/>
  <c r="I162" i="5" s="1"/>
  <c r="J162" i="5" s="1"/>
  <c r="G163" i="5"/>
  <c r="I163" i="5" s="1"/>
  <c r="J163" i="5" s="1"/>
  <c r="G164" i="5"/>
  <c r="I164" i="5" s="1"/>
  <c r="J164" i="5" s="1"/>
  <c r="G165" i="5"/>
  <c r="I165" i="5" s="1"/>
  <c r="J165" i="5" s="1"/>
  <c r="G166" i="5"/>
  <c r="I166" i="5" s="1"/>
  <c r="J166" i="5" s="1"/>
  <c r="G167" i="5"/>
  <c r="I167" i="5" s="1"/>
  <c r="J167" i="5" s="1"/>
  <c r="G168" i="5"/>
  <c r="I168" i="5" s="1"/>
  <c r="J168" i="5" s="1"/>
  <c r="G169" i="5"/>
  <c r="I169" i="5" s="1"/>
  <c r="J169" i="5" s="1"/>
  <c r="G170" i="5"/>
  <c r="I170" i="5" s="1"/>
  <c r="J170" i="5" s="1"/>
  <c r="G171" i="5"/>
  <c r="I171" i="5" s="1"/>
  <c r="J171" i="5" s="1"/>
  <c r="G172" i="5"/>
  <c r="I172" i="5" s="1"/>
  <c r="J172" i="5" s="1"/>
  <c r="G173" i="5"/>
  <c r="I173" i="5" s="1"/>
  <c r="J173" i="5" s="1"/>
  <c r="G174" i="5"/>
  <c r="I174" i="5" s="1"/>
  <c r="J174" i="5" s="1"/>
  <c r="G175" i="5"/>
  <c r="I175" i="5" s="1"/>
  <c r="J175" i="5" s="1"/>
  <c r="G176" i="5"/>
  <c r="I176" i="5" s="1"/>
  <c r="J176" i="5" s="1"/>
  <c r="G177" i="5"/>
  <c r="I177" i="5" s="1"/>
  <c r="J177" i="5" s="1"/>
  <c r="G178" i="5"/>
  <c r="I178" i="5" s="1"/>
  <c r="J178" i="5" s="1"/>
  <c r="G179" i="5"/>
  <c r="I179" i="5" s="1"/>
  <c r="J179" i="5" s="1"/>
  <c r="G180" i="5"/>
  <c r="I180" i="5" s="1"/>
  <c r="J180" i="5" s="1"/>
  <c r="G181" i="5"/>
  <c r="I181" i="5" s="1"/>
  <c r="J181" i="5" s="1"/>
  <c r="G182" i="5"/>
  <c r="I182" i="5" s="1"/>
  <c r="J182" i="5" s="1"/>
  <c r="G183" i="5"/>
  <c r="I183" i="5" s="1"/>
  <c r="J183" i="5" s="1"/>
  <c r="G184" i="5"/>
  <c r="I184" i="5" s="1"/>
  <c r="J184" i="5" s="1"/>
  <c r="G185" i="5"/>
  <c r="I185" i="5" s="1"/>
  <c r="J185" i="5" s="1"/>
  <c r="G186" i="5"/>
  <c r="I186" i="5" s="1"/>
  <c r="J186" i="5" s="1"/>
  <c r="G187" i="5"/>
  <c r="I187" i="5" s="1"/>
  <c r="J187" i="5" s="1"/>
  <c r="G188" i="5"/>
  <c r="I188" i="5" s="1"/>
  <c r="J188" i="5" s="1"/>
  <c r="G189" i="5"/>
  <c r="I189" i="5" s="1"/>
  <c r="J189" i="5" s="1"/>
  <c r="G190" i="5"/>
  <c r="I190" i="5" s="1"/>
  <c r="J190" i="5" s="1"/>
  <c r="G191" i="5"/>
  <c r="I191" i="5" s="1"/>
  <c r="J191" i="5" s="1"/>
  <c r="G192" i="5"/>
  <c r="I192" i="5" s="1"/>
  <c r="J192" i="5" s="1"/>
  <c r="G193" i="5"/>
  <c r="I193" i="5" s="1"/>
  <c r="J193" i="5" s="1"/>
  <c r="G194" i="5"/>
  <c r="I194" i="5" s="1"/>
  <c r="J194" i="5" s="1"/>
  <c r="G195" i="5"/>
  <c r="I195" i="5" s="1"/>
  <c r="J195" i="5" s="1"/>
  <c r="G196" i="5"/>
  <c r="I196" i="5" s="1"/>
  <c r="J196" i="5" s="1"/>
  <c r="G197" i="5"/>
  <c r="I197" i="5" s="1"/>
  <c r="J197" i="5" s="1"/>
  <c r="G198" i="5"/>
  <c r="I198" i="5" s="1"/>
  <c r="J198" i="5" s="1"/>
  <c r="G199" i="5"/>
  <c r="I199" i="5" s="1"/>
  <c r="J199" i="5" s="1"/>
  <c r="G200" i="5"/>
  <c r="I200" i="5" s="1"/>
  <c r="J200" i="5" s="1"/>
  <c r="G201" i="5"/>
  <c r="I201" i="5" s="1"/>
  <c r="J201" i="5" s="1"/>
  <c r="G202" i="5"/>
  <c r="I202" i="5" s="1"/>
  <c r="J202" i="5" s="1"/>
  <c r="G203" i="5"/>
  <c r="I203" i="5" s="1"/>
  <c r="J203" i="5" s="1"/>
  <c r="G204" i="5"/>
  <c r="I204" i="5" s="1"/>
  <c r="J204" i="5" s="1"/>
  <c r="G205" i="5"/>
  <c r="I205" i="5" s="1"/>
  <c r="J205" i="5" s="1"/>
  <c r="G206" i="5"/>
  <c r="I206" i="5" s="1"/>
  <c r="J206" i="5" s="1"/>
  <c r="G207" i="5"/>
  <c r="I207" i="5" s="1"/>
  <c r="J207" i="5" s="1"/>
  <c r="G208" i="5"/>
  <c r="I208" i="5" s="1"/>
  <c r="J208" i="5" s="1"/>
  <c r="G209" i="5"/>
  <c r="I209" i="5" s="1"/>
  <c r="J209" i="5" s="1"/>
  <c r="G210" i="5"/>
  <c r="I210" i="5" s="1"/>
  <c r="J210" i="5" s="1"/>
  <c r="G211" i="5"/>
  <c r="I211" i="5" s="1"/>
  <c r="J211" i="5" s="1"/>
  <c r="G212" i="5"/>
  <c r="I212" i="5" s="1"/>
  <c r="J212" i="5" s="1"/>
  <c r="G213" i="5"/>
  <c r="I213" i="5" s="1"/>
  <c r="J213" i="5" s="1"/>
  <c r="G214" i="5"/>
  <c r="I214" i="5" s="1"/>
  <c r="J214" i="5" s="1"/>
  <c r="G215" i="5"/>
  <c r="I215" i="5" s="1"/>
  <c r="J215" i="5" s="1"/>
  <c r="G216" i="5"/>
  <c r="I216" i="5" s="1"/>
  <c r="J216" i="5" s="1"/>
  <c r="G217" i="5"/>
  <c r="I217" i="5" s="1"/>
  <c r="J217" i="5" s="1"/>
  <c r="G218" i="5"/>
  <c r="I218" i="5" s="1"/>
  <c r="J218" i="5" s="1"/>
  <c r="G219" i="5"/>
  <c r="I219" i="5" s="1"/>
  <c r="J219" i="5" s="1"/>
  <c r="G220" i="5"/>
  <c r="I220" i="5" s="1"/>
  <c r="J220" i="5" s="1"/>
  <c r="G221" i="5"/>
  <c r="I221" i="5" s="1"/>
  <c r="J221" i="5" s="1"/>
  <c r="G222" i="5"/>
  <c r="I222" i="5" s="1"/>
  <c r="J222" i="5" s="1"/>
  <c r="G223" i="5"/>
  <c r="I223" i="5" s="1"/>
  <c r="J223" i="5" s="1"/>
  <c r="G224" i="5"/>
  <c r="I224" i="5" s="1"/>
  <c r="J224" i="5" s="1"/>
  <c r="G225" i="5"/>
  <c r="I225" i="5" s="1"/>
  <c r="J225" i="5" s="1"/>
  <c r="G226" i="5"/>
  <c r="I226" i="5" s="1"/>
  <c r="J226" i="5" s="1"/>
  <c r="G227" i="5"/>
  <c r="I227" i="5" s="1"/>
  <c r="J227" i="5" s="1"/>
  <c r="G228" i="5"/>
  <c r="I228" i="5" s="1"/>
  <c r="J228" i="5" s="1"/>
  <c r="G229" i="5"/>
  <c r="I229" i="5" s="1"/>
  <c r="J229" i="5" s="1"/>
  <c r="G230" i="5"/>
  <c r="I230" i="5" s="1"/>
  <c r="J230" i="5" s="1"/>
  <c r="G231" i="5"/>
  <c r="I231" i="5" s="1"/>
  <c r="J231" i="5" s="1"/>
  <c r="G232" i="5"/>
  <c r="I232" i="5" s="1"/>
  <c r="J232" i="5" s="1"/>
  <c r="G233" i="5"/>
  <c r="I233" i="5" s="1"/>
  <c r="J233" i="5" s="1"/>
  <c r="G234" i="5"/>
  <c r="I234" i="5" s="1"/>
  <c r="J234" i="5" s="1"/>
  <c r="G235" i="5"/>
  <c r="I235" i="5" s="1"/>
  <c r="J235" i="5" s="1"/>
  <c r="G236" i="5"/>
  <c r="I236" i="5" s="1"/>
  <c r="J236" i="5" s="1"/>
  <c r="G237" i="5"/>
  <c r="I237" i="5" s="1"/>
  <c r="J237" i="5" s="1"/>
  <c r="G238" i="5"/>
  <c r="I238" i="5" s="1"/>
  <c r="J238" i="5" s="1"/>
  <c r="G239" i="5"/>
  <c r="I239" i="5" s="1"/>
  <c r="J239" i="5" s="1"/>
  <c r="G240" i="5"/>
  <c r="I240" i="5" s="1"/>
  <c r="J240" i="5" s="1"/>
  <c r="G241" i="5"/>
  <c r="I241" i="5" s="1"/>
  <c r="J241" i="5" s="1"/>
  <c r="G242" i="5"/>
  <c r="I242" i="5" s="1"/>
  <c r="J242" i="5" s="1"/>
  <c r="G243" i="5"/>
  <c r="I243" i="5" s="1"/>
  <c r="J243" i="5" s="1"/>
  <c r="G244" i="5"/>
  <c r="I244" i="5" s="1"/>
  <c r="J244" i="5" s="1"/>
  <c r="G245" i="5"/>
  <c r="I245" i="5" s="1"/>
  <c r="J245" i="5" s="1"/>
  <c r="G246" i="5"/>
  <c r="I246" i="5" s="1"/>
  <c r="J246" i="5" s="1"/>
  <c r="G247" i="5"/>
  <c r="I247" i="5" s="1"/>
  <c r="J247" i="5" s="1"/>
  <c r="G248" i="5"/>
  <c r="I248" i="5" s="1"/>
  <c r="J248" i="5" s="1"/>
  <c r="G249" i="5"/>
  <c r="I249" i="5" s="1"/>
  <c r="J249" i="5" s="1"/>
  <c r="G250" i="5"/>
  <c r="I250" i="5" s="1"/>
  <c r="J250" i="5" s="1"/>
  <c r="G251" i="5"/>
  <c r="I251" i="5" s="1"/>
  <c r="J251" i="5" s="1"/>
  <c r="G252" i="5"/>
  <c r="I252" i="5" s="1"/>
  <c r="J252" i="5" s="1"/>
  <c r="G253" i="5"/>
  <c r="I253" i="5" s="1"/>
  <c r="J253" i="5" s="1"/>
  <c r="G254" i="5"/>
  <c r="I254" i="5" s="1"/>
  <c r="J254" i="5" s="1"/>
  <c r="G255" i="5"/>
  <c r="I255" i="5" s="1"/>
  <c r="J255" i="5" s="1"/>
  <c r="G256" i="5"/>
  <c r="I256" i="5" s="1"/>
  <c r="J256" i="5" s="1"/>
  <c r="G257" i="5"/>
  <c r="I257" i="5" s="1"/>
  <c r="J257" i="5" s="1"/>
  <c r="G258" i="5"/>
  <c r="I258" i="5" s="1"/>
  <c r="J258" i="5" s="1"/>
  <c r="G259" i="5"/>
  <c r="I259" i="5" s="1"/>
  <c r="J259" i="5" s="1"/>
  <c r="G260" i="5"/>
  <c r="I260" i="5" s="1"/>
  <c r="J260" i="5" s="1"/>
  <c r="G261" i="5"/>
  <c r="I261" i="5" s="1"/>
  <c r="J261" i="5" s="1"/>
  <c r="G262" i="5"/>
  <c r="I262" i="5" s="1"/>
  <c r="J262" i="5" s="1"/>
  <c r="G263" i="5"/>
  <c r="I263" i="5" s="1"/>
  <c r="J263" i="5" s="1"/>
  <c r="G264" i="5"/>
  <c r="I264" i="5" s="1"/>
  <c r="J264" i="5" s="1"/>
  <c r="G265" i="5"/>
  <c r="I265" i="5" s="1"/>
  <c r="J265" i="5" s="1"/>
  <c r="G266" i="5"/>
  <c r="I266" i="5" s="1"/>
  <c r="J266" i="5" s="1"/>
  <c r="G267" i="5"/>
  <c r="I267" i="5" s="1"/>
  <c r="J267" i="5" s="1"/>
  <c r="G268" i="5"/>
  <c r="I268" i="5" s="1"/>
  <c r="J268" i="5" s="1"/>
  <c r="G269" i="5"/>
  <c r="I269" i="5" s="1"/>
  <c r="J269" i="5" s="1"/>
  <c r="G270" i="5"/>
  <c r="I270" i="5" s="1"/>
  <c r="J270" i="5" s="1"/>
  <c r="G271" i="5"/>
  <c r="I271" i="5" s="1"/>
  <c r="J271" i="5" s="1"/>
  <c r="G272" i="5"/>
  <c r="I272" i="5" s="1"/>
  <c r="J272" i="5" s="1"/>
  <c r="G273" i="5"/>
  <c r="I273" i="5" s="1"/>
  <c r="J273" i="5" s="1"/>
  <c r="G274" i="5"/>
  <c r="I274" i="5" s="1"/>
  <c r="J274" i="5" s="1"/>
  <c r="G275" i="5"/>
  <c r="I275" i="5" s="1"/>
  <c r="J275" i="5" s="1"/>
  <c r="G276" i="5"/>
  <c r="I276" i="5" s="1"/>
  <c r="J276" i="5" s="1"/>
  <c r="G277" i="5"/>
  <c r="I277" i="5" s="1"/>
  <c r="J277" i="5" s="1"/>
  <c r="G278" i="5"/>
  <c r="I278" i="5" s="1"/>
  <c r="J278" i="5" s="1"/>
  <c r="G279" i="5"/>
  <c r="I279" i="5" s="1"/>
  <c r="J279" i="5" s="1"/>
  <c r="G280" i="5"/>
  <c r="I280" i="5" s="1"/>
  <c r="J280" i="5" s="1"/>
  <c r="G281" i="5"/>
  <c r="I281" i="5" s="1"/>
  <c r="J281" i="5" s="1"/>
  <c r="G282" i="5"/>
  <c r="I282" i="5" s="1"/>
  <c r="J282" i="5" s="1"/>
  <c r="G283" i="5"/>
  <c r="I283" i="5" s="1"/>
  <c r="J283" i="5" s="1"/>
  <c r="G284" i="5"/>
  <c r="I284" i="5" s="1"/>
  <c r="J284" i="5" s="1"/>
  <c r="G285" i="5"/>
  <c r="I285" i="5" s="1"/>
  <c r="J285" i="5" s="1"/>
  <c r="G286" i="5"/>
  <c r="I286" i="5" s="1"/>
  <c r="J286" i="5" s="1"/>
  <c r="G287" i="5"/>
  <c r="I287" i="5" s="1"/>
  <c r="J287" i="5" s="1"/>
  <c r="G288" i="5"/>
  <c r="I288" i="5" s="1"/>
  <c r="J288" i="5" s="1"/>
  <c r="G289" i="5"/>
  <c r="I289" i="5" s="1"/>
  <c r="J289" i="5" s="1"/>
  <c r="G290" i="5"/>
  <c r="I290" i="5" s="1"/>
  <c r="J290" i="5" s="1"/>
  <c r="G291" i="5"/>
  <c r="I291" i="5" s="1"/>
  <c r="J291" i="5" s="1"/>
  <c r="G292" i="5"/>
  <c r="I292" i="5" s="1"/>
  <c r="J292" i="5" s="1"/>
  <c r="G293" i="5"/>
  <c r="I293" i="5" s="1"/>
  <c r="J293" i="5" s="1"/>
  <c r="G294" i="5"/>
  <c r="I294" i="5" s="1"/>
  <c r="J294" i="5" s="1"/>
  <c r="G295" i="5"/>
  <c r="I295" i="5" s="1"/>
  <c r="J295" i="5" s="1"/>
  <c r="G296" i="5"/>
  <c r="I296" i="5" s="1"/>
  <c r="J296" i="5" s="1"/>
  <c r="G297" i="5"/>
  <c r="I297" i="5" s="1"/>
  <c r="J297" i="5" s="1"/>
  <c r="G298" i="5"/>
  <c r="I298" i="5" s="1"/>
  <c r="J298" i="5" s="1"/>
  <c r="G299" i="5"/>
  <c r="I299" i="5" s="1"/>
  <c r="J299" i="5" s="1"/>
  <c r="G300" i="5"/>
  <c r="I300" i="5" s="1"/>
  <c r="J300" i="5" s="1"/>
  <c r="G301" i="5"/>
  <c r="I301" i="5" s="1"/>
  <c r="J301" i="5" s="1"/>
  <c r="G302" i="5"/>
  <c r="I302" i="5" s="1"/>
  <c r="J302" i="5" s="1"/>
  <c r="G303" i="5"/>
  <c r="I303" i="5" s="1"/>
  <c r="J303" i="5" s="1"/>
  <c r="G304" i="5"/>
  <c r="I304" i="5" s="1"/>
  <c r="J304" i="5" s="1"/>
  <c r="G305" i="5"/>
  <c r="I305" i="5" s="1"/>
  <c r="J305" i="5" s="1"/>
  <c r="G306" i="5"/>
  <c r="I306" i="5" s="1"/>
  <c r="J306" i="5" s="1"/>
  <c r="G307" i="5"/>
  <c r="I307" i="5" s="1"/>
  <c r="J307" i="5" s="1"/>
  <c r="G308" i="5"/>
  <c r="I308" i="5" s="1"/>
  <c r="J308" i="5" s="1"/>
  <c r="G309" i="5"/>
  <c r="I309" i="5" s="1"/>
  <c r="J309" i="5" s="1"/>
  <c r="G310" i="5"/>
  <c r="I310" i="5" s="1"/>
  <c r="J310" i="5" s="1"/>
  <c r="G311" i="5"/>
  <c r="I311" i="5" s="1"/>
  <c r="J311" i="5" s="1"/>
  <c r="G312" i="5"/>
  <c r="I312" i="5" s="1"/>
  <c r="J312" i="5" s="1"/>
  <c r="G313" i="5"/>
  <c r="I313" i="5" s="1"/>
  <c r="J313" i="5" s="1"/>
  <c r="G314" i="5"/>
  <c r="I314" i="5" s="1"/>
  <c r="J314" i="5" s="1"/>
  <c r="G315" i="5"/>
  <c r="I315" i="5" s="1"/>
  <c r="J315" i="5" s="1"/>
  <c r="G316" i="5"/>
  <c r="I316" i="5" s="1"/>
  <c r="J316" i="5" s="1"/>
  <c r="G317" i="5"/>
  <c r="I317" i="5" s="1"/>
  <c r="J317" i="5" s="1"/>
  <c r="G318" i="5"/>
  <c r="I318" i="5" s="1"/>
  <c r="J318" i="5" s="1"/>
  <c r="G319" i="5"/>
  <c r="I319" i="5" s="1"/>
  <c r="J319" i="5" s="1"/>
  <c r="G320" i="5"/>
  <c r="I320" i="5" s="1"/>
  <c r="J320" i="5" s="1"/>
  <c r="G321" i="5"/>
  <c r="I321" i="5" s="1"/>
  <c r="J321" i="5" s="1"/>
  <c r="G322" i="5"/>
  <c r="I322" i="5" s="1"/>
  <c r="J322" i="5" s="1"/>
  <c r="G323" i="5"/>
  <c r="I323" i="5" s="1"/>
  <c r="J323" i="5" s="1"/>
  <c r="G324" i="5"/>
  <c r="I324" i="5" s="1"/>
  <c r="J324" i="5" s="1"/>
  <c r="G325" i="5"/>
  <c r="I325" i="5" s="1"/>
  <c r="J325" i="5" s="1"/>
  <c r="G326" i="5"/>
  <c r="I326" i="5" s="1"/>
  <c r="J326" i="5" s="1"/>
  <c r="G327" i="5"/>
  <c r="I327" i="5" s="1"/>
  <c r="J327" i="5" s="1"/>
  <c r="G328" i="5"/>
  <c r="I328" i="5" s="1"/>
  <c r="J328" i="5" s="1"/>
  <c r="G329" i="5"/>
  <c r="I329" i="5" s="1"/>
  <c r="J329" i="5" s="1"/>
  <c r="G330" i="5"/>
  <c r="I330" i="5" s="1"/>
  <c r="J330" i="5" s="1"/>
  <c r="G331" i="5"/>
  <c r="I331" i="5" s="1"/>
  <c r="J331" i="5" s="1"/>
  <c r="G332" i="5"/>
  <c r="I332" i="5" s="1"/>
  <c r="J332" i="5" s="1"/>
  <c r="G333" i="5"/>
  <c r="I333" i="5" s="1"/>
  <c r="J333" i="5" s="1"/>
  <c r="G334" i="5"/>
  <c r="I334" i="5" s="1"/>
  <c r="J334" i="5" s="1"/>
  <c r="G335" i="5"/>
  <c r="I335" i="5" s="1"/>
  <c r="J335" i="5" s="1"/>
  <c r="G336" i="5"/>
  <c r="I336" i="5" s="1"/>
  <c r="J336" i="5" s="1"/>
  <c r="G337" i="5"/>
  <c r="I337" i="5" s="1"/>
  <c r="J337" i="5" s="1"/>
  <c r="G338" i="5"/>
  <c r="I338" i="5" s="1"/>
  <c r="J338" i="5" s="1"/>
  <c r="G339" i="5"/>
  <c r="I339" i="5" s="1"/>
  <c r="J339" i="5" s="1"/>
  <c r="G340" i="5"/>
  <c r="I340" i="5" s="1"/>
  <c r="J340" i="5" s="1"/>
  <c r="G341" i="5"/>
  <c r="I341" i="5" s="1"/>
  <c r="J341" i="5" s="1"/>
  <c r="G342" i="5"/>
  <c r="I342" i="5" s="1"/>
  <c r="J342" i="5" s="1"/>
  <c r="G343" i="5"/>
  <c r="I343" i="5" s="1"/>
  <c r="J343" i="5" s="1"/>
  <c r="G344" i="5"/>
  <c r="I344" i="5" s="1"/>
  <c r="J344" i="5" s="1"/>
  <c r="G345" i="5"/>
  <c r="I345" i="5" s="1"/>
  <c r="J345" i="5" s="1"/>
  <c r="G346" i="5"/>
  <c r="I346" i="5" s="1"/>
  <c r="J346" i="5" s="1"/>
  <c r="G347" i="5"/>
  <c r="I347" i="5" s="1"/>
  <c r="J347" i="5" s="1"/>
  <c r="G348" i="5"/>
  <c r="I348" i="5" s="1"/>
  <c r="J348" i="5" s="1"/>
  <c r="G349" i="5"/>
  <c r="I349" i="5" s="1"/>
  <c r="J349" i="5" s="1"/>
  <c r="G350" i="5"/>
  <c r="I350" i="5" s="1"/>
  <c r="J350" i="5" s="1"/>
  <c r="G351" i="5"/>
  <c r="I351" i="5" s="1"/>
  <c r="J351" i="5" s="1"/>
  <c r="G352" i="5"/>
  <c r="I352" i="5" s="1"/>
  <c r="J352" i="5" s="1"/>
  <c r="G353" i="5"/>
  <c r="I353" i="5" s="1"/>
  <c r="J353" i="5" s="1"/>
  <c r="G354" i="5"/>
  <c r="I354" i="5" s="1"/>
  <c r="J354" i="5" s="1"/>
  <c r="G355" i="5"/>
  <c r="I355" i="5" s="1"/>
  <c r="J355" i="5" s="1"/>
  <c r="G356" i="5"/>
  <c r="I356" i="5" s="1"/>
  <c r="J356" i="5" s="1"/>
  <c r="G357" i="5"/>
  <c r="I357" i="5" s="1"/>
  <c r="J357" i="5" s="1"/>
  <c r="G358" i="5"/>
  <c r="I358" i="5" s="1"/>
  <c r="J358" i="5" s="1"/>
  <c r="G359" i="5"/>
  <c r="I359" i="5" s="1"/>
  <c r="J359" i="5" s="1"/>
  <c r="G360" i="5"/>
  <c r="I360" i="5" s="1"/>
  <c r="J360" i="5" s="1"/>
  <c r="G361" i="5"/>
  <c r="I361" i="5" s="1"/>
  <c r="J361" i="5" s="1"/>
  <c r="G362" i="5"/>
  <c r="I362" i="5" s="1"/>
  <c r="J362" i="5" s="1"/>
  <c r="G363" i="5"/>
  <c r="I363" i="5" s="1"/>
  <c r="J363" i="5" s="1"/>
  <c r="G364" i="5"/>
  <c r="I364" i="5" s="1"/>
  <c r="J364" i="5" s="1"/>
  <c r="G365" i="5"/>
  <c r="I365" i="5" s="1"/>
  <c r="J365" i="5" s="1"/>
  <c r="G366" i="5"/>
  <c r="I366" i="5" s="1"/>
  <c r="J366" i="5" s="1"/>
  <c r="G367" i="5"/>
  <c r="I367" i="5" s="1"/>
  <c r="J367" i="5" s="1"/>
  <c r="G368" i="5"/>
  <c r="I368" i="5" s="1"/>
  <c r="J368" i="5" s="1"/>
  <c r="G369" i="5"/>
  <c r="I369" i="5" s="1"/>
  <c r="J369" i="5" s="1"/>
  <c r="G370" i="5"/>
  <c r="I370" i="5" s="1"/>
  <c r="J370" i="5" s="1"/>
  <c r="G371" i="5"/>
  <c r="I371" i="5" s="1"/>
  <c r="J371" i="5" s="1"/>
  <c r="G372" i="5"/>
  <c r="I372" i="5" s="1"/>
  <c r="J372" i="5" s="1"/>
  <c r="G373" i="5"/>
  <c r="I373" i="5" s="1"/>
  <c r="J373" i="5" s="1"/>
  <c r="G374" i="5"/>
  <c r="I374" i="5" s="1"/>
  <c r="J374" i="5" s="1"/>
  <c r="G375" i="5"/>
  <c r="I375" i="5" s="1"/>
  <c r="J375" i="5" s="1"/>
  <c r="G376" i="5"/>
  <c r="I376" i="5" s="1"/>
  <c r="J376" i="5" s="1"/>
  <c r="G377" i="5"/>
  <c r="I377" i="5" s="1"/>
  <c r="J377" i="5" s="1"/>
  <c r="G378" i="5"/>
  <c r="I378" i="5" s="1"/>
  <c r="J378" i="5" s="1"/>
  <c r="G379" i="5"/>
  <c r="I379" i="5" s="1"/>
  <c r="J379" i="5" s="1"/>
  <c r="G380" i="5"/>
  <c r="I380" i="5" s="1"/>
  <c r="J380" i="5" s="1"/>
  <c r="G381" i="5"/>
  <c r="I381" i="5" s="1"/>
  <c r="J381" i="5" s="1"/>
  <c r="G382" i="5"/>
  <c r="I382" i="5" s="1"/>
  <c r="J382" i="5" s="1"/>
  <c r="G383" i="5"/>
  <c r="I383" i="5" s="1"/>
  <c r="J383" i="5" s="1"/>
  <c r="G384" i="5"/>
  <c r="I384" i="5" s="1"/>
  <c r="J384" i="5" s="1"/>
  <c r="G385" i="5"/>
  <c r="I385" i="5" s="1"/>
  <c r="J385" i="5" s="1"/>
  <c r="G386" i="5"/>
  <c r="I386" i="5" s="1"/>
  <c r="J386" i="5" s="1"/>
  <c r="G387" i="5"/>
  <c r="I387" i="5" s="1"/>
  <c r="J387" i="5" s="1"/>
  <c r="G388" i="5"/>
  <c r="I388" i="5" s="1"/>
  <c r="J388" i="5" s="1"/>
  <c r="G389" i="5"/>
  <c r="I389" i="5" s="1"/>
  <c r="J389" i="5" s="1"/>
  <c r="G390" i="5"/>
  <c r="I390" i="5" s="1"/>
  <c r="J390" i="5" s="1"/>
  <c r="G391" i="5"/>
  <c r="I391" i="5" s="1"/>
  <c r="J391" i="5" s="1"/>
  <c r="G392" i="5"/>
  <c r="I392" i="5" s="1"/>
  <c r="J392" i="5" s="1"/>
  <c r="G393" i="5"/>
  <c r="I393" i="5" s="1"/>
  <c r="J393" i="5" s="1"/>
  <c r="G394" i="5"/>
  <c r="I394" i="5" s="1"/>
  <c r="J394" i="5" s="1"/>
  <c r="G395" i="5"/>
  <c r="I395" i="5" s="1"/>
  <c r="J395" i="5" s="1"/>
  <c r="G396" i="5"/>
  <c r="I396" i="5" s="1"/>
  <c r="J396" i="5" s="1"/>
  <c r="G397" i="5"/>
  <c r="I397" i="5" s="1"/>
  <c r="J397" i="5" s="1"/>
  <c r="G398" i="5"/>
  <c r="I398" i="5" s="1"/>
  <c r="J398" i="5" s="1"/>
  <c r="G399" i="5"/>
  <c r="I399" i="5" s="1"/>
  <c r="J399" i="5" s="1"/>
  <c r="G400" i="5"/>
  <c r="I400" i="5" s="1"/>
  <c r="J400" i="5" s="1"/>
  <c r="G401" i="5"/>
  <c r="I401" i="5" s="1"/>
  <c r="J401" i="5" s="1"/>
  <c r="G402" i="5"/>
  <c r="I402" i="5" s="1"/>
  <c r="J402" i="5" s="1"/>
  <c r="G403" i="5"/>
  <c r="I403" i="5" s="1"/>
  <c r="J403" i="5" s="1"/>
  <c r="G404" i="5"/>
  <c r="I404" i="5" s="1"/>
  <c r="J404" i="5" s="1"/>
  <c r="G405" i="5"/>
  <c r="I405" i="5" s="1"/>
  <c r="J405" i="5" s="1"/>
  <c r="G406" i="5"/>
  <c r="I406" i="5" s="1"/>
  <c r="J406" i="5" s="1"/>
  <c r="G407" i="5"/>
  <c r="I407" i="5" s="1"/>
  <c r="J407" i="5" s="1"/>
  <c r="G408" i="5"/>
  <c r="I408" i="5" s="1"/>
  <c r="J408" i="5" s="1"/>
  <c r="G409" i="5"/>
  <c r="I409" i="5" s="1"/>
  <c r="J409" i="5" s="1"/>
  <c r="G410" i="5"/>
  <c r="I410" i="5" s="1"/>
  <c r="J410" i="5" s="1"/>
  <c r="G411" i="5"/>
  <c r="I411" i="5" s="1"/>
  <c r="J411" i="5" s="1"/>
  <c r="G412" i="5"/>
  <c r="I412" i="5" s="1"/>
  <c r="J412" i="5" s="1"/>
  <c r="G413" i="5"/>
  <c r="I413" i="5" s="1"/>
  <c r="J413" i="5" s="1"/>
  <c r="G414" i="5"/>
  <c r="I414" i="5" s="1"/>
  <c r="J414" i="5" s="1"/>
  <c r="G415" i="5"/>
  <c r="I415" i="5" s="1"/>
  <c r="J415" i="5" s="1"/>
  <c r="G416" i="5"/>
  <c r="I416" i="5" s="1"/>
  <c r="J416" i="5" s="1"/>
  <c r="G417" i="5"/>
  <c r="I417" i="5" s="1"/>
  <c r="J417" i="5" s="1"/>
  <c r="G418" i="5"/>
  <c r="I418" i="5" s="1"/>
  <c r="J418" i="5" s="1"/>
  <c r="G419" i="5"/>
  <c r="I419" i="5" s="1"/>
  <c r="J419" i="5" s="1"/>
  <c r="G420" i="5"/>
  <c r="I420" i="5" s="1"/>
  <c r="J420" i="5" s="1"/>
  <c r="G421" i="5"/>
  <c r="I421" i="5" s="1"/>
  <c r="J421" i="5" s="1"/>
  <c r="G422" i="5"/>
  <c r="I422" i="5" s="1"/>
  <c r="J422" i="5" s="1"/>
  <c r="G423" i="5"/>
  <c r="I423" i="5" s="1"/>
  <c r="J423" i="5" s="1"/>
  <c r="G424" i="5"/>
  <c r="I424" i="5" s="1"/>
  <c r="J424" i="5" s="1"/>
  <c r="G425" i="5"/>
  <c r="I425" i="5" s="1"/>
  <c r="J425" i="5" s="1"/>
  <c r="G426" i="5"/>
  <c r="I426" i="5" s="1"/>
  <c r="J426" i="5" s="1"/>
  <c r="G427" i="5"/>
  <c r="I427" i="5" s="1"/>
  <c r="J427" i="5" s="1"/>
  <c r="G428" i="5"/>
  <c r="I428" i="5" s="1"/>
  <c r="J428" i="5" s="1"/>
  <c r="G429" i="5"/>
  <c r="I429" i="5" s="1"/>
  <c r="J429" i="5" s="1"/>
  <c r="G430" i="5"/>
  <c r="I430" i="5" s="1"/>
  <c r="J430" i="5" s="1"/>
  <c r="G431" i="5"/>
  <c r="I431" i="5" s="1"/>
  <c r="J431" i="5" s="1"/>
  <c r="G432" i="5"/>
  <c r="I432" i="5" s="1"/>
  <c r="J432" i="5" s="1"/>
  <c r="G433" i="5"/>
  <c r="I433" i="5" s="1"/>
  <c r="J433" i="5" s="1"/>
  <c r="G434" i="5"/>
  <c r="I434" i="5" s="1"/>
  <c r="J434" i="5" s="1"/>
  <c r="G435" i="5"/>
  <c r="I435" i="5" s="1"/>
  <c r="J435" i="5" s="1"/>
  <c r="G436" i="5"/>
  <c r="I436" i="5" s="1"/>
  <c r="J436" i="5" s="1"/>
  <c r="G437" i="5"/>
  <c r="I437" i="5" s="1"/>
  <c r="J437" i="5" s="1"/>
  <c r="G438" i="5"/>
  <c r="I438" i="5" s="1"/>
  <c r="J438" i="5" s="1"/>
  <c r="G439" i="5"/>
  <c r="I439" i="5" s="1"/>
  <c r="J439" i="5" s="1"/>
  <c r="G440" i="5"/>
  <c r="I440" i="5" s="1"/>
  <c r="J440" i="5" s="1"/>
  <c r="G441" i="5"/>
  <c r="I441" i="5" s="1"/>
  <c r="J441" i="5" s="1"/>
  <c r="G442" i="5"/>
  <c r="I442" i="5" s="1"/>
  <c r="J442" i="5" s="1"/>
  <c r="G443" i="5"/>
  <c r="I443" i="5" s="1"/>
  <c r="J443" i="5" s="1"/>
  <c r="G444" i="5"/>
  <c r="I444" i="5" s="1"/>
  <c r="J444" i="5" s="1"/>
  <c r="G445" i="5"/>
  <c r="I445" i="5" s="1"/>
  <c r="J445" i="5" s="1"/>
  <c r="G446" i="5"/>
  <c r="I446" i="5" s="1"/>
  <c r="J446" i="5" s="1"/>
  <c r="G447" i="5"/>
  <c r="I447" i="5" s="1"/>
  <c r="J447" i="5" s="1"/>
  <c r="G448" i="5"/>
  <c r="I448" i="5" s="1"/>
  <c r="J448" i="5" s="1"/>
  <c r="G449" i="5"/>
  <c r="I449" i="5" s="1"/>
  <c r="J449" i="5" s="1"/>
  <c r="G450" i="5"/>
  <c r="I450" i="5" s="1"/>
  <c r="J450" i="5" s="1"/>
  <c r="G451" i="5"/>
  <c r="I451" i="5" s="1"/>
  <c r="J451" i="5" s="1"/>
  <c r="G452" i="5"/>
  <c r="I452" i="5" s="1"/>
  <c r="J452" i="5" s="1"/>
  <c r="G453" i="5"/>
  <c r="I453" i="5" s="1"/>
  <c r="J453" i="5" s="1"/>
  <c r="G454" i="5"/>
  <c r="I454" i="5" s="1"/>
  <c r="J454" i="5" s="1"/>
  <c r="G455" i="5"/>
  <c r="I455" i="5" s="1"/>
  <c r="J455" i="5" s="1"/>
  <c r="G456" i="5"/>
  <c r="I456" i="5" s="1"/>
  <c r="J456" i="5" s="1"/>
  <c r="G457" i="5"/>
  <c r="I457" i="5" s="1"/>
  <c r="J457" i="5" s="1"/>
  <c r="G458" i="5"/>
  <c r="I458" i="5" s="1"/>
  <c r="J458" i="5" s="1"/>
  <c r="G459" i="5"/>
  <c r="I459" i="5" s="1"/>
  <c r="J459" i="5" s="1"/>
  <c r="G460" i="5"/>
  <c r="I460" i="5" s="1"/>
  <c r="J460" i="5" s="1"/>
  <c r="G461" i="5"/>
  <c r="I461" i="5" s="1"/>
  <c r="J461" i="5" s="1"/>
  <c r="G462" i="5"/>
  <c r="I462" i="5" s="1"/>
  <c r="J462" i="5" s="1"/>
  <c r="G463" i="5"/>
  <c r="I463" i="5" s="1"/>
  <c r="J463" i="5" s="1"/>
  <c r="G464" i="5"/>
  <c r="I464" i="5" s="1"/>
  <c r="J464" i="5" s="1"/>
  <c r="G465" i="5"/>
  <c r="I465" i="5" s="1"/>
  <c r="J465" i="5" s="1"/>
  <c r="G466" i="5"/>
  <c r="I466" i="5" s="1"/>
  <c r="J466" i="5" s="1"/>
  <c r="G467" i="5"/>
  <c r="I467" i="5" s="1"/>
  <c r="J467" i="5" s="1"/>
  <c r="G468" i="5"/>
  <c r="I468" i="5" s="1"/>
  <c r="J468" i="5" s="1"/>
  <c r="G469" i="5"/>
  <c r="I469" i="5" s="1"/>
  <c r="J469" i="5" s="1"/>
  <c r="G470" i="5"/>
  <c r="I470" i="5" s="1"/>
  <c r="J470" i="5" s="1"/>
  <c r="G471" i="5"/>
  <c r="I471" i="5" s="1"/>
  <c r="J471" i="5" s="1"/>
  <c r="G472" i="5"/>
  <c r="I472" i="5" s="1"/>
  <c r="J472" i="5" s="1"/>
  <c r="G473" i="5"/>
  <c r="I473" i="5" s="1"/>
  <c r="J473" i="5" s="1"/>
  <c r="G474" i="5"/>
  <c r="I474" i="5" s="1"/>
  <c r="J474" i="5" s="1"/>
  <c r="G475" i="5"/>
  <c r="I475" i="5" s="1"/>
  <c r="J475" i="5" s="1"/>
  <c r="G476" i="5"/>
  <c r="I476" i="5" s="1"/>
  <c r="J476" i="5" s="1"/>
  <c r="G477" i="5"/>
  <c r="I477" i="5" s="1"/>
  <c r="J477" i="5" s="1"/>
  <c r="G478" i="5"/>
  <c r="I478" i="5" s="1"/>
  <c r="J478" i="5" s="1"/>
  <c r="G479" i="5"/>
  <c r="I479" i="5" s="1"/>
  <c r="J479" i="5" s="1"/>
  <c r="G480" i="5"/>
  <c r="I480" i="5" s="1"/>
  <c r="J480" i="5" s="1"/>
  <c r="G481" i="5"/>
  <c r="I481" i="5" s="1"/>
  <c r="J481" i="5" s="1"/>
  <c r="G482" i="5"/>
  <c r="I482" i="5" s="1"/>
  <c r="J482" i="5" s="1"/>
  <c r="G483" i="5"/>
  <c r="I483" i="5" s="1"/>
  <c r="J483" i="5" s="1"/>
  <c r="G484" i="5"/>
  <c r="I484" i="5" s="1"/>
  <c r="J484" i="5" s="1"/>
  <c r="G485" i="5"/>
  <c r="I485" i="5" s="1"/>
  <c r="J485" i="5" s="1"/>
  <c r="G486" i="5"/>
  <c r="I486" i="5" s="1"/>
  <c r="J486" i="5" s="1"/>
  <c r="G487" i="5"/>
  <c r="I487" i="5" s="1"/>
  <c r="J487" i="5" s="1"/>
  <c r="G488" i="5"/>
  <c r="I488" i="5" s="1"/>
  <c r="J488" i="5" s="1"/>
  <c r="G489" i="5"/>
  <c r="I489" i="5" s="1"/>
  <c r="J489" i="5" s="1"/>
  <c r="G490" i="5"/>
  <c r="I490" i="5" s="1"/>
  <c r="J490" i="5" s="1"/>
  <c r="G491" i="5"/>
  <c r="I491" i="5" s="1"/>
  <c r="J491" i="5" s="1"/>
  <c r="G492" i="5"/>
  <c r="I492" i="5" s="1"/>
  <c r="J492" i="5" s="1"/>
  <c r="G493" i="5"/>
  <c r="I493" i="5" s="1"/>
  <c r="J493" i="5" s="1"/>
  <c r="G494" i="5"/>
  <c r="I494" i="5" s="1"/>
  <c r="J494" i="5" s="1"/>
  <c r="G495" i="5"/>
  <c r="I495" i="5" s="1"/>
  <c r="J495" i="5" s="1"/>
  <c r="G496" i="5"/>
  <c r="I496" i="5" s="1"/>
  <c r="J496" i="5" s="1"/>
  <c r="G497" i="5"/>
  <c r="I497" i="5" s="1"/>
  <c r="J497" i="5" s="1"/>
  <c r="G498" i="5"/>
  <c r="I498" i="5" s="1"/>
  <c r="J498" i="5" s="1"/>
  <c r="G499" i="5"/>
  <c r="I499" i="5" s="1"/>
  <c r="J499" i="5" s="1"/>
  <c r="G500" i="5"/>
  <c r="I500" i="5" s="1"/>
  <c r="J500" i="5" s="1"/>
  <c r="G501" i="5"/>
  <c r="I501" i="5" s="1"/>
  <c r="J501" i="5" s="1"/>
  <c r="G502" i="5"/>
  <c r="I502" i="5" s="1"/>
  <c r="J502" i="5" s="1"/>
  <c r="G503" i="5"/>
  <c r="I503" i="5" s="1"/>
  <c r="J503" i="5" s="1"/>
  <c r="G504" i="5"/>
  <c r="I504" i="5" s="1"/>
  <c r="J504" i="5" s="1"/>
  <c r="G505" i="5"/>
  <c r="I505" i="5" s="1"/>
  <c r="J505" i="5" s="1"/>
  <c r="G506" i="5"/>
  <c r="I506" i="5" s="1"/>
  <c r="J506" i="5" s="1"/>
  <c r="G507" i="5"/>
  <c r="I507" i="5" s="1"/>
  <c r="J507" i="5" s="1"/>
  <c r="G508" i="5"/>
  <c r="I508" i="5" s="1"/>
  <c r="J508" i="5" s="1"/>
  <c r="G509" i="5"/>
  <c r="I509" i="5" s="1"/>
  <c r="J509" i="5" s="1"/>
  <c r="G510" i="5"/>
  <c r="I510" i="5" s="1"/>
  <c r="J510" i="5" s="1"/>
  <c r="G511" i="5"/>
  <c r="I511" i="5" s="1"/>
  <c r="J511" i="5" s="1"/>
  <c r="G512" i="5"/>
  <c r="I512" i="5" s="1"/>
  <c r="J512" i="5" s="1"/>
  <c r="G513" i="5"/>
  <c r="I513" i="5" s="1"/>
  <c r="J513" i="5" s="1"/>
  <c r="G514" i="5"/>
  <c r="I514" i="5" s="1"/>
  <c r="J514" i="5" s="1"/>
  <c r="G515" i="5"/>
  <c r="I515" i="5" s="1"/>
  <c r="J515" i="5" s="1"/>
  <c r="G516" i="5"/>
  <c r="I516" i="5" s="1"/>
  <c r="J516" i="5" s="1"/>
  <c r="G517" i="5"/>
  <c r="I517" i="5" s="1"/>
  <c r="J517" i="5" s="1"/>
  <c r="G518" i="5"/>
  <c r="I518" i="5" s="1"/>
  <c r="J518" i="5" s="1"/>
  <c r="G519" i="5"/>
  <c r="I519" i="5" s="1"/>
  <c r="J519" i="5" s="1"/>
  <c r="G520" i="5"/>
  <c r="I520" i="5" s="1"/>
  <c r="J520" i="5" s="1"/>
  <c r="G521" i="5"/>
  <c r="I521" i="5" s="1"/>
  <c r="J521" i="5" s="1"/>
  <c r="G522" i="5"/>
  <c r="I522" i="5" s="1"/>
  <c r="J522" i="5" s="1"/>
  <c r="G523" i="5"/>
  <c r="I523" i="5" s="1"/>
  <c r="J523" i="5" s="1"/>
  <c r="G524" i="5"/>
  <c r="I524" i="5" s="1"/>
  <c r="J524" i="5" s="1"/>
  <c r="G525" i="5"/>
  <c r="I525" i="5" s="1"/>
  <c r="J525" i="5" s="1"/>
  <c r="G526" i="5"/>
  <c r="I526" i="5" s="1"/>
  <c r="J526" i="5" s="1"/>
  <c r="G527" i="5"/>
  <c r="I527" i="5" s="1"/>
  <c r="J527" i="5" s="1"/>
  <c r="G528" i="5"/>
  <c r="I528" i="5" s="1"/>
  <c r="J528" i="5" s="1"/>
  <c r="G529" i="5"/>
  <c r="I529" i="5" s="1"/>
  <c r="J529" i="5" s="1"/>
  <c r="G530" i="5"/>
  <c r="I530" i="5" s="1"/>
  <c r="J530" i="5" s="1"/>
  <c r="G531" i="5"/>
  <c r="I531" i="5" s="1"/>
  <c r="J531" i="5" s="1"/>
  <c r="G532" i="5"/>
  <c r="I532" i="5" s="1"/>
  <c r="J532" i="5" s="1"/>
  <c r="G533" i="5"/>
  <c r="I533" i="5" s="1"/>
  <c r="J533" i="5" s="1"/>
  <c r="G534" i="5"/>
  <c r="I534" i="5" s="1"/>
  <c r="J534" i="5" s="1"/>
  <c r="G535" i="5"/>
  <c r="I535" i="5" s="1"/>
  <c r="J535" i="5" s="1"/>
  <c r="G536" i="5"/>
  <c r="I536" i="5" s="1"/>
  <c r="J536" i="5" s="1"/>
  <c r="G537" i="5"/>
  <c r="I537" i="5" s="1"/>
  <c r="J537" i="5" s="1"/>
  <c r="G538" i="5"/>
  <c r="I538" i="5" s="1"/>
  <c r="J538" i="5" s="1"/>
  <c r="G539" i="5"/>
  <c r="I539" i="5" s="1"/>
  <c r="J539" i="5" s="1"/>
  <c r="G540" i="5"/>
  <c r="I540" i="5" s="1"/>
  <c r="J540" i="5" s="1"/>
  <c r="G541" i="5"/>
  <c r="I541" i="5" s="1"/>
  <c r="J541" i="5" s="1"/>
  <c r="G542" i="5"/>
  <c r="I542" i="5" s="1"/>
  <c r="J542" i="5" s="1"/>
  <c r="G543" i="5"/>
  <c r="I543" i="5" s="1"/>
  <c r="J543" i="5" s="1"/>
  <c r="G544" i="5"/>
  <c r="I544" i="5" s="1"/>
  <c r="J544" i="5" s="1"/>
  <c r="G545" i="5"/>
  <c r="I545" i="5" s="1"/>
  <c r="J545" i="5" s="1"/>
  <c r="G546" i="5"/>
  <c r="I546" i="5" s="1"/>
  <c r="J546" i="5" s="1"/>
  <c r="G547" i="5"/>
  <c r="I547" i="5" s="1"/>
  <c r="J547" i="5" s="1"/>
  <c r="G548" i="5"/>
  <c r="I548" i="5" s="1"/>
  <c r="J548" i="5" s="1"/>
  <c r="G549" i="5"/>
  <c r="I549" i="5" s="1"/>
  <c r="J549" i="5" s="1"/>
  <c r="G550" i="5"/>
  <c r="I550" i="5" s="1"/>
  <c r="J550" i="5" s="1"/>
  <c r="G551" i="5"/>
  <c r="I551" i="5" s="1"/>
  <c r="J551" i="5" s="1"/>
  <c r="G552" i="5"/>
  <c r="I552" i="5" s="1"/>
  <c r="J552" i="5" s="1"/>
  <c r="G553" i="5"/>
  <c r="I553" i="5" s="1"/>
  <c r="J553" i="5" s="1"/>
  <c r="G554" i="5"/>
  <c r="I554" i="5" s="1"/>
  <c r="J554" i="5" s="1"/>
  <c r="G555" i="5"/>
  <c r="I555" i="5" s="1"/>
  <c r="J555" i="5" s="1"/>
  <c r="G556" i="5"/>
  <c r="I556" i="5" s="1"/>
  <c r="J556" i="5" s="1"/>
  <c r="G557" i="5"/>
  <c r="I557" i="5" s="1"/>
  <c r="J557" i="5" s="1"/>
  <c r="G558" i="5"/>
  <c r="I558" i="5" s="1"/>
  <c r="J558" i="5" s="1"/>
  <c r="G559" i="5"/>
  <c r="I559" i="5" s="1"/>
  <c r="J559" i="5" s="1"/>
  <c r="G560" i="5"/>
  <c r="I560" i="5" s="1"/>
  <c r="J560" i="5" s="1"/>
  <c r="G561" i="5"/>
  <c r="I561" i="5" s="1"/>
  <c r="J561" i="5" s="1"/>
  <c r="G562" i="5"/>
  <c r="I562" i="5" s="1"/>
  <c r="J562" i="5" s="1"/>
  <c r="G563" i="5"/>
  <c r="I563" i="5" s="1"/>
  <c r="J563" i="5" s="1"/>
  <c r="G564" i="5"/>
  <c r="I564" i="5" s="1"/>
  <c r="J564" i="5" s="1"/>
  <c r="G565" i="5"/>
  <c r="I565" i="5" s="1"/>
  <c r="J565" i="5" s="1"/>
  <c r="G566" i="5"/>
  <c r="I566" i="5" s="1"/>
  <c r="J566" i="5" s="1"/>
  <c r="G567" i="5"/>
  <c r="I567" i="5" s="1"/>
  <c r="J567" i="5" s="1"/>
  <c r="G568" i="5"/>
  <c r="I568" i="5" s="1"/>
  <c r="J568" i="5" s="1"/>
  <c r="G569" i="5"/>
  <c r="I569" i="5" s="1"/>
  <c r="J569" i="5" s="1"/>
  <c r="G570" i="5"/>
  <c r="I570" i="5" s="1"/>
  <c r="J570" i="5" s="1"/>
  <c r="G571" i="5"/>
  <c r="I571" i="5" s="1"/>
  <c r="J571" i="5" s="1"/>
  <c r="G572" i="5"/>
  <c r="I572" i="5" s="1"/>
  <c r="J572" i="5" s="1"/>
  <c r="G573" i="5"/>
  <c r="I573" i="5" s="1"/>
  <c r="J573" i="5" s="1"/>
  <c r="G574" i="5"/>
  <c r="I574" i="5" s="1"/>
  <c r="J574" i="5" s="1"/>
  <c r="G575" i="5"/>
  <c r="I575" i="5" s="1"/>
  <c r="J575" i="5" s="1"/>
  <c r="G576" i="5"/>
  <c r="I576" i="5" s="1"/>
  <c r="J576" i="5" s="1"/>
  <c r="G577" i="5"/>
  <c r="I577" i="5" s="1"/>
  <c r="J577" i="5" s="1"/>
  <c r="G578" i="5"/>
  <c r="I578" i="5" s="1"/>
  <c r="J578" i="5" s="1"/>
  <c r="G579" i="5"/>
  <c r="I579" i="5" s="1"/>
  <c r="J579" i="5" s="1"/>
  <c r="G580" i="5"/>
  <c r="I580" i="5" s="1"/>
  <c r="J580" i="5" s="1"/>
  <c r="G581" i="5"/>
  <c r="I581" i="5" s="1"/>
  <c r="J581" i="5" s="1"/>
  <c r="G582" i="5"/>
  <c r="I582" i="5" s="1"/>
  <c r="J582" i="5" s="1"/>
  <c r="G583" i="5"/>
  <c r="I583" i="5" s="1"/>
  <c r="J583" i="5" s="1"/>
  <c r="G584" i="5"/>
  <c r="I584" i="5" s="1"/>
  <c r="J584" i="5" s="1"/>
  <c r="G585" i="5"/>
  <c r="I585" i="5" s="1"/>
  <c r="J585" i="5" s="1"/>
  <c r="G586" i="5"/>
  <c r="I586" i="5" s="1"/>
  <c r="J586" i="5" s="1"/>
  <c r="G587" i="5"/>
  <c r="I587" i="5" s="1"/>
  <c r="J587" i="5" s="1"/>
  <c r="G588" i="5"/>
  <c r="I588" i="5" s="1"/>
  <c r="J588" i="5" s="1"/>
  <c r="G589" i="5"/>
  <c r="I589" i="5" s="1"/>
  <c r="J589" i="5" s="1"/>
  <c r="G590" i="5"/>
  <c r="I590" i="5" s="1"/>
  <c r="J590" i="5" s="1"/>
  <c r="G591" i="5"/>
  <c r="I591" i="5" s="1"/>
  <c r="J591" i="5" s="1"/>
  <c r="G592" i="5"/>
  <c r="I592" i="5" s="1"/>
  <c r="J592" i="5" s="1"/>
  <c r="G593" i="5"/>
  <c r="I593" i="5" s="1"/>
  <c r="J593" i="5" s="1"/>
  <c r="G594" i="5"/>
  <c r="I594" i="5" s="1"/>
  <c r="J594" i="5" s="1"/>
  <c r="G595" i="5"/>
  <c r="I595" i="5" s="1"/>
  <c r="J595" i="5" s="1"/>
  <c r="G596" i="5"/>
  <c r="I596" i="5" s="1"/>
  <c r="J596" i="5" s="1"/>
  <c r="G597" i="5"/>
  <c r="I597" i="5" s="1"/>
  <c r="J597" i="5" s="1"/>
  <c r="G598" i="5"/>
  <c r="I598" i="5" s="1"/>
  <c r="J598" i="5" s="1"/>
  <c r="G599" i="5"/>
  <c r="I599" i="5" s="1"/>
  <c r="J599" i="5" s="1"/>
  <c r="G600" i="5"/>
  <c r="I600" i="5" s="1"/>
  <c r="J600" i="5" s="1"/>
  <c r="G601" i="5"/>
  <c r="I601" i="5" s="1"/>
  <c r="J601" i="5" s="1"/>
  <c r="G602" i="5"/>
  <c r="I602" i="5" s="1"/>
  <c r="J602" i="5" s="1"/>
  <c r="G603" i="5"/>
  <c r="I603" i="5" s="1"/>
  <c r="J603" i="5" s="1"/>
  <c r="G604" i="5"/>
  <c r="I604" i="5" s="1"/>
  <c r="J604" i="5" s="1"/>
  <c r="G605" i="5"/>
  <c r="I605" i="5" s="1"/>
  <c r="J605" i="5" s="1"/>
  <c r="G606" i="5"/>
  <c r="I606" i="5" s="1"/>
  <c r="J606" i="5" s="1"/>
  <c r="G607" i="5"/>
  <c r="I607" i="5" s="1"/>
  <c r="J607" i="5" s="1"/>
  <c r="G608" i="5"/>
  <c r="I608" i="5" s="1"/>
  <c r="J608" i="5" s="1"/>
  <c r="G609" i="5"/>
  <c r="I609" i="5" s="1"/>
  <c r="J609" i="5" s="1"/>
  <c r="G610" i="5"/>
  <c r="I610" i="5" s="1"/>
  <c r="J610" i="5" s="1"/>
  <c r="G611" i="5"/>
  <c r="I611" i="5" s="1"/>
  <c r="J611" i="5" s="1"/>
  <c r="G612" i="5"/>
  <c r="I612" i="5" s="1"/>
  <c r="J612" i="5" s="1"/>
  <c r="G613" i="5"/>
  <c r="I613" i="5" s="1"/>
  <c r="J613" i="5" s="1"/>
  <c r="G614" i="5"/>
  <c r="I614" i="5" s="1"/>
  <c r="J614" i="5" s="1"/>
  <c r="G615" i="5"/>
  <c r="I615" i="5" s="1"/>
  <c r="J615" i="5" s="1"/>
  <c r="G616" i="5"/>
  <c r="I616" i="5" s="1"/>
  <c r="J616" i="5" s="1"/>
  <c r="G617" i="5"/>
  <c r="I617" i="5" s="1"/>
  <c r="J617" i="5" s="1"/>
  <c r="G618" i="5"/>
  <c r="I618" i="5" s="1"/>
  <c r="J618" i="5" s="1"/>
  <c r="G619" i="5"/>
  <c r="I619" i="5" s="1"/>
  <c r="J619" i="5" s="1"/>
  <c r="G620" i="5"/>
  <c r="I620" i="5" s="1"/>
  <c r="J620" i="5" s="1"/>
  <c r="G621" i="5"/>
  <c r="I621" i="5" s="1"/>
  <c r="J621" i="5" s="1"/>
  <c r="G622" i="5"/>
  <c r="I622" i="5" s="1"/>
  <c r="J622" i="5" s="1"/>
  <c r="G623" i="5"/>
  <c r="I623" i="5" s="1"/>
  <c r="J623" i="5" s="1"/>
  <c r="G624" i="5"/>
  <c r="I624" i="5" s="1"/>
  <c r="J624" i="5" s="1"/>
  <c r="G625" i="5"/>
  <c r="I625" i="5" s="1"/>
  <c r="J625" i="5" s="1"/>
  <c r="G626" i="5"/>
  <c r="I626" i="5" s="1"/>
  <c r="J626" i="5" s="1"/>
  <c r="G627" i="5"/>
  <c r="I627" i="5" s="1"/>
  <c r="J627" i="5" s="1"/>
  <c r="G628" i="5"/>
  <c r="I628" i="5" s="1"/>
  <c r="J628" i="5" s="1"/>
  <c r="G629" i="5"/>
  <c r="I629" i="5" s="1"/>
  <c r="J629" i="5" s="1"/>
  <c r="G630" i="5"/>
  <c r="I630" i="5" s="1"/>
  <c r="J630" i="5" s="1"/>
  <c r="G631" i="5"/>
  <c r="I631" i="5" s="1"/>
  <c r="J631" i="5" s="1"/>
  <c r="G632" i="5"/>
  <c r="I632" i="5" s="1"/>
  <c r="J632" i="5" s="1"/>
  <c r="G633" i="5"/>
  <c r="I633" i="5" s="1"/>
  <c r="J633" i="5" s="1"/>
  <c r="G634" i="5"/>
  <c r="I634" i="5" s="1"/>
  <c r="J634" i="5" s="1"/>
  <c r="G635" i="5"/>
  <c r="I635" i="5" s="1"/>
  <c r="J635" i="5" s="1"/>
  <c r="G636" i="5"/>
  <c r="I636" i="5" s="1"/>
  <c r="J636" i="5" s="1"/>
  <c r="G637" i="5"/>
  <c r="I637" i="5" s="1"/>
  <c r="J637" i="5" s="1"/>
  <c r="G638" i="5"/>
  <c r="I638" i="5" s="1"/>
  <c r="J638" i="5" s="1"/>
  <c r="G639" i="5"/>
  <c r="I639" i="5" s="1"/>
  <c r="J639" i="5" s="1"/>
  <c r="G640" i="5"/>
  <c r="I640" i="5" s="1"/>
  <c r="J640" i="5" s="1"/>
  <c r="G641" i="5"/>
  <c r="I641" i="5" s="1"/>
  <c r="J641" i="5" s="1"/>
  <c r="G642" i="5"/>
  <c r="I642" i="5" s="1"/>
  <c r="J642" i="5" s="1"/>
  <c r="G643" i="5"/>
  <c r="I643" i="5" s="1"/>
  <c r="J643" i="5" s="1"/>
  <c r="G644" i="5"/>
  <c r="I644" i="5" s="1"/>
  <c r="J644" i="5" s="1"/>
  <c r="G645" i="5"/>
  <c r="I645" i="5" s="1"/>
  <c r="J645" i="5" s="1"/>
  <c r="G646" i="5"/>
  <c r="I646" i="5" s="1"/>
  <c r="J646" i="5" s="1"/>
  <c r="G647" i="5"/>
  <c r="I647" i="5" s="1"/>
  <c r="J647" i="5" s="1"/>
  <c r="G648" i="5"/>
  <c r="I648" i="5" s="1"/>
  <c r="J648" i="5" s="1"/>
  <c r="G649" i="5"/>
  <c r="I649" i="5" s="1"/>
  <c r="J649" i="5" s="1"/>
  <c r="G650" i="5"/>
  <c r="I650" i="5" s="1"/>
  <c r="J650" i="5" s="1"/>
  <c r="G651" i="5"/>
  <c r="I651" i="5" s="1"/>
  <c r="J651" i="5" s="1"/>
  <c r="G652" i="5"/>
  <c r="I652" i="5" s="1"/>
  <c r="J652" i="5" s="1"/>
  <c r="G653" i="5"/>
  <c r="I653" i="5" s="1"/>
  <c r="J653" i="5" s="1"/>
  <c r="G654" i="5"/>
  <c r="I654" i="5" s="1"/>
  <c r="J654" i="5" s="1"/>
  <c r="G655" i="5"/>
  <c r="I655" i="5" s="1"/>
  <c r="J655" i="5" s="1"/>
  <c r="G656" i="5"/>
  <c r="I656" i="5" s="1"/>
  <c r="J656" i="5" s="1"/>
  <c r="G657" i="5"/>
  <c r="I657" i="5" s="1"/>
  <c r="J657" i="5" s="1"/>
  <c r="G658" i="5"/>
  <c r="I658" i="5" s="1"/>
  <c r="J658" i="5" s="1"/>
  <c r="G659" i="5"/>
  <c r="I659" i="5" s="1"/>
  <c r="J659" i="5" s="1"/>
  <c r="G660" i="5"/>
  <c r="I660" i="5" s="1"/>
  <c r="J660" i="5" s="1"/>
  <c r="G661" i="5"/>
  <c r="I661" i="5" s="1"/>
  <c r="J661" i="5" s="1"/>
  <c r="G662" i="5"/>
  <c r="I662" i="5" s="1"/>
  <c r="J662" i="5" s="1"/>
  <c r="G663" i="5"/>
  <c r="I663" i="5" s="1"/>
  <c r="J663" i="5" s="1"/>
  <c r="G664" i="5"/>
  <c r="I664" i="5" s="1"/>
  <c r="J664" i="5" s="1"/>
  <c r="G665" i="5"/>
  <c r="I665" i="5" s="1"/>
  <c r="J665" i="5" s="1"/>
  <c r="G666" i="5"/>
  <c r="I666" i="5" s="1"/>
  <c r="J666" i="5" s="1"/>
  <c r="G667" i="5"/>
  <c r="I667" i="5" s="1"/>
  <c r="J667" i="5" s="1"/>
  <c r="G668" i="5"/>
  <c r="I668" i="5" s="1"/>
  <c r="J668" i="5" s="1"/>
  <c r="G669" i="5"/>
  <c r="I669" i="5" s="1"/>
  <c r="J669" i="5" s="1"/>
  <c r="G670" i="5"/>
  <c r="I670" i="5" s="1"/>
  <c r="J670" i="5" s="1"/>
  <c r="G671" i="5"/>
  <c r="I671" i="5" s="1"/>
  <c r="J671" i="5" s="1"/>
  <c r="G672" i="5"/>
  <c r="I672" i="5" s="1"/>
  <c r="J672" i="5" s="1"/>
  <c r="G673" i="5"/>
  <c r="I673" i="5" s="1"/>
  <c r="J673" i="5" s="1"/>
  <c r="G674" i="5"/>
  <c r="I674" i="5" s="1"/>
  <c r="J674" i="5" s="1"/>
  <c r="G675" i="5"/>
  <c r="I675" i="5" s="1"/>
  <c r="J675" i="5" s="1"/>
  <c r="G676" i="5"/>
  <c r="I676" i="5" s="1"/>
  <c r="J676" i="5" s="1"/>
  <c r="G677" i="5"/>
  <c r="I677" i="5" s="1"/>
  <c r="J677" i="5" s="1"/>
  <c r="G678" i="5"/>
  <c r="I678" i="5" s="1"/>
  <c r="J678" i="5" s="1"/>
  <c r="G679" i="5"/>
  <c r="I679" i="5" s="1"/>
  <c r="J679" i="5" s="1"/>
  <c r="G680" i="5"/>
  <c r="I680" i="5" s="1"/>
  <c r="J680" i="5" s="1"/>
  <c r="G681" i="5"/>
  <c r="I681" i="5" s="1"/>
  <c r="J681" i="5" s="1"/>
  <c r="G682" i="5"/>
  <c r="I682" i="5" s="1"/>
  <c r="J682" i="5" s="1"/>
  <c r="G683" i="5"/>
  <c r="I683" i="5" s="1"/>
  <c r="J683" i="5" s="1"/>
  <c r="G684" i="5"/>
  <c r="I684" i="5" s="1"/>
  <c r="J684" i="5" s="1"/>
  <c r="G685" i="5"/>
  <c r="I685" i="5" s="1"/>
  <c r="J685" i="5" s="1"/>
  <c r="G686" i="5"/>
  <c r="I686" i="5" s="1"/>
  <c r="J686" i="5" s="1"/>
  <c r="G687" i="5"/>
  <c r="I687" i="5" s="1"/>
  <c r="J687" i="5" s="1"/>
  <c r="G688" i="5"/>
  <c r="I688" i="5" s="1"/>
  <c r="J688" i="5" s="1"/>
  <c r="G689" i="5"/>
  <c r="I689" i="5" s="1"/>
  <c r="J689" i="5" s="1"/>
  <c r="G690" i="5"/>
  <c r="I690" i="5" s="1"/>
  <c r="J690" i="5" s="1"/>
  <c r="G691" i="5"/>
  <c r="I691" i="5" s="1"/>
  <c r="J691" i="5" s="1"/>
  <c r="G692" i="5"/>
  <c r="I692" i="5" s="1"/>
  <c r="J692" i="5" s="1"/>
  <c r="G693" i="5"/>
  <c r="I693" i="5" s="1"/>
  <c r="J693" i="5" s="1"/>
  <c r="G694" i="5"/>
  <c r="I694" i="5" s="1"/>
  <c r="J694" i="5" s="1"/>
  <c r="G695" i="5"/>
  <c r="I695" i="5" s="1"/>
  <c r="J695" i="5" s="1"/>
  <c r="G696" i="5"/>
  <c r="I696" i="5" s="1"/>
  <c r="J696" i="5" s="1"/>
  <c r="G697" i="5"/>
  <c r="I697" i="5" s="1"/>
  <c r="J697" i="5" s="1"/>
  <c r="G698" i="5"/>
  <c r="I698" i="5" s="1"/>
  <c r="J698" i="5" s="1"/>
  <c r="G699" i="5"/>
  <c r="I699" i="5" s="1"/>
  <c r="J699" i="5" s="1"/>
  <c r="G700" i="5"/>
  <c r="I700" i="5" s="1"/>
  <c r="J700" i="5" s="1"/>
  <c r="G701" i="5"/>
  <c r="I701" i="5" s="1"/>
  <c r="J701" i="5" s="1"/>
  <c r="G702" i="5"/>
  <c r="I702" i="5" s="1"/>
  <c r="J702" i="5" s="1"/>
  <c r="G703" i="5"/>
  <c r="I703" i="5" s="1"/>
  <c r="J703" i="5" s="1"/>
  <c r="G704" i="5"/>
  <c r="I704" i="5" s="1"/>
  <c r="J704" i="5" s="1"/>
  <c r="G705" i="5"/>
  <c r="I705" i="5" s="1"/>
  <c r="J705" i="5" s="1"/>
  <c r="G706" i="5"/>
  <c r="I706" i="5" s="1"/>
  <c r="J706" i="5" s="1"/>
  <c r="G707" i="5"/>
  <c r="I707" i="5" s="1"/>
  <c r="J707" i="5" s="1"/>
  <c r="G708" i="5"/>
  <c r="I708" i="5" s="1"/>
  <c r="J708" i="5" s="1"/>
  <c r="G709" i="5"/>
  <c r="I709" i="5" s="1"/>
  <c r="J709" i="5" s="1"/>
  <c r="G710" i="5"/>
  <c r="I710" i="5" s="1"/>
  <c r="J710" i="5" s="1"/>
  <c r="G711" i="5"/>
  <c r="I711" i="5" s="1"/>
  <c r="J711" i="5" s="1"/>
  <c r="G712" i="5"/>
  <c r="I712" i="5" s="1"/>
  <c r="J712" i="5" s="1"/>
  <c r="G713" i="5"/>
  <c r="I713" i="5" s="1"/>
  <c r="J713" i="5" s="1"/>
  <c r="G714" i="5"/>
  <c r="I714" i="5" s="1"/>
  <c r="J714" i="5" s="1"/>
  <c r="G715" i="5"/>
  <c r="I715" i="5" s="1"/>
  <c r="J715" i="5" s="1"/>
  <c r="G716" i="5"/>
  <c r="I716" i="5" s="1"/>
  <c r="J716" i="5" s="1"/>
  <c r="G717" i="5"/>
  <c r="I717" i="5" s="1"/>
  <c r="J717" i="5" s="1"/>
  <c r="G718" i="5"/>
  <c r="I718" i="5" s="1"/>
  <c r="J718" i="5" s="1"/>
  <c r="G719" i="5"/>
  <c r="I719" i="5" s="1"/>
  <c r="J719" i="5" s="1"/>
  <c r="G720" i="5"/>
  <c r="I720" i="5" s="1"/>
  <c r="J720" i="5" s="1"/>
  <c r="G721" i="5"/>
  <c r="I721" i="5" s="1"/>
  <c r="J721" i="5" s="1"/>
  <c r="G722" i="5"/>
  <c r="I722" i="5" s="1"/>
  <c r="J722" i="5" s="1"/>
  <c r="G723" i="5"/>
  <c r="I723" i="5" s="1"/>
  <c r="J723" i="5" s="1"/>
  <c r="G724" i="5"/>
  <c r="I724" i="5" s="1"/>
  <c r="J724" i="5" s="1"/>
  <c r="G725" i="5"/>
  <c r="I725" i="5" s="1"/>
  <c r="J725" i="5" s="1"/>
  <c r="G726" i="5"/>
  <c r="I726" i="5" s="1"/>
  <c r="J726" i="5" s="1"/>
  <c r="G727" i="5"/>
  <c r="I727" i="5" s="1"/>
  <c r="J727" i="5" s="1"/>
  <c r="G728" i="5"/>
  <c r="I728" i="5" s="1"/>
  <c r="J728" i="5" s="1"/>
  <c r="G729" i="5"/>
  <c r="I729" i="5" s="1"/>
  <c r="J729" i="5" s="1"/>
  <c r="G730" i="5"/>
  <c r="I730" i="5" s="1"/>
  <c r="J730" i="5" s="1"/>
  <c r="G731" i="5"/>
  <c r="I731" i="5" s="1"/>
  <c r="J731" i="5" s="1"/>
  <c r="G732" i="5"/>
  <c r="I732" i="5" s="1"/>
  <c r="J732" i="5" s="1"/>
  <c r="G733" i="5"/>
  <c r="I733" i="5" s="1"/>
  <c r="J733" i="5" s="1"/>
  <c r="G734" i="5"/>
  <c r="I734" i="5" s="1"/>
  <c r="J734" i="5" s="1"/>
  <c r="G735" i="5"/>
  <c r="I735" i="5" s="1"/>
  <c r="J735" i="5" s="1"/>
  <c r="G736" i="5"/>
  <c r="I736" i="5" s="1"/>
  <c r="J736" i="5" s="1"/>
  <c r="G737" i="5"/>
  <c r="I737" i="5" s="1"/>
  <c r="J737" i="5" s="1"/>
  <c r="G738" i="5"/>
  <c r="I738" i="5" s="1"/>
  <c r="J738" i="5" s="1"/>
  <c r="G739" i="5"/>
  <c r="I739" i="5" s="1"/>
  <c r="J739" i="5" s="1"/>
  <c r="G740" i="5"/>
  <c r="I740" i="5" s="1"/>
  <c r="J740" i="5" s="1"/>
  <c r="G741" i="5"/>
  <c r="I741" i="5" s="1"/>
  <c r="J741" i="5" s="1"/>
  <c r="G742" i="5"/>
  <c r="I742" i="5" s="1"/>
  <c r="J742" i="5" s="1"/>
  <c r="G743" i="5"/>
  <c r="I743" i="5" s="1"/>
  <c r="J743" i="5" s="1"/>
  <c r="G744" i="5"/>
  <c r="I744" i="5" s="1"/>
  <c r="J744" i="5" s="1"/>
  <c r="G745" i="5"/>
  <c r="I745" i="5" s="1"/>
  <c r="J745" i="5" s="1"/>
  <c r="G746" i="5"/>
  <c r="I746" i="5" s="1"/>
  <c r="J746" i="5" s="1"/>
  <c r="G747" i="5"/>
  <c r="I747" i="5" s="1"/>
  <c r="J747" i="5" s="1"/>
  <c r="G748" i="5"/>
  <c r="I748" i="5" s="1"/>
  <c r="J748" i="5" s="1"/>
  <c r="G749" i="5"/>
  <c r="I749" i="5" s="1"/>
  <c r="J749" i="5" s="1"/>
  <c r="G750" i="5"/>
  <c r="I750" i="5" s="1"/>
  <c r="J750" i="5" s="1"/>
  <c r="G751" i="5"/>
  <c r="I751" i="5" s="1"/>
  <c r="J751" i="5" s="1"/>
  <c r="G752" i="5"/>
  <c r="I752" i="5" s="1"/>
  <c r="J752" i="5" s="1"/>
  <c r="G753" i="5"/>
  <c r="I753" i="5" s="1"/>
  <c r="J753" i="5" s="1"/>
  <c r="G754" i="5"/>
  <c r="I754" i="5" s="1"/>
  <c r="J754" i="5" s="1"/>
  <c r="G755" i="5"/>
  <c r="I755" i="5" s="1"/>
  <c r="J755" i="5" s="1"/>
  <c r="G756" i="5"/>
  <c r="I756" i="5" s="1"/>
  <c r="J756" i="5" s="1"/>
  <c r="G757" i="5"/>
  <c r="I757" i="5" s="1"/>
  <c r="J757" i="5" s="1"/>
  <c r="G758" i="5"/>
  <c r="I758" i="5" s="1"/>
  <c r="J758" i="5" s="1"/>
  <c r="G759" i="5"/>
  <c r="I759" i="5" s="1"/>
  <c r="J759" i="5" s="1"/>
  <c r="G760" i="5"/>
  <c r="I760" i="5" s="1"/>
  <c r="J760" i="5" s="1"/>
  <c r="G761" i="5"/>
  <c r="I761" i="5" s="1"/>
  <c r="J761" i="5" s="1"/>
  <c r="G762" i="5"/>
  <c r="I762" i="5" s="1"/>
  <c r="J762" i="5" s="1"/>
  <c r="G763" i="5"/>
  <c r="I763" i="5" s="1"/>
  <c r="J763" i="5" s="1"/>
  <c r="G764" i="5"/>
  <c r="I764" i="5" s="1"/>
  <c r="J764" i="5" s="1"/>
  <c r="G765" i="5"/>
  <c r="I765" i="5" s="1"/>
  <c r="J765" i="5" s="1"/>
  <c r="G766" i="5"/>
  <c r="I766" i="5" s="1"/>
  <c r="J766" i="5" s="1"/>
  <c r="G767" i="5"/>
  <c r="I767" i="5" s="1"/>
  <c r="J767" i="5" s="1"/>
  <c r="G768" i="5"/>
  <c r="I768" i="5" s="1"/>
  <c r="J768" i="5" s="1"/>
  <c r="G769" i="5"/>
  <c r="I769" i="5" s="1"/>
  <c r="J769" i="5" s="1"/>
  <c r="G770" i="5"/>
  <c r="I770" i="5" s="1"/>
  <c r="J770" i="5" s="1"/>
  <c r="G771" i="5"/>
  <c r="I771" i="5" s="1"/>
  <c r="J771" i="5" s="1"/>
  <c r="G772" i="5"/>
  <c r="I772" i="5" s="1"/>
  <c r="J772" i="5" s="1"/>
  <c r="G773" i="5"/>
  <c r="I773" i="5" s="1"/>
  <c r="J773" i="5" s="1"/>
  <c r="G774" i="5"/>
  <c r="I774" i="5" s="1"/>
  <c r="J774" i="5" s="1"/>
  <c r="G775" i="5"/>
  <c r="I775" i="5" s="1"/>
  <c r="J775" i="5" s="1"/>
  <c r="G776" i="5"/>
  <c r="I776" i="5" s="1"/>
  <c r="J776" i="5" s="1"/>
  <c r="G777" i="5"/>
  <c r="I777" i="5" s="1"/>
  <c r="J777" i="5" s="1"/>
  <c r="G778" i="5"/>
  <c r="I778" i="5" s="1"/>
  <c r="J778" i="5" s="1"/>
  <c r="G779" i="5"/>
  <c r="I779" i="5" s="1"/>
  <c r="J779" i="5" s="1"/>
  <c r="G780" i="5"/>
  <c r="I780" i="5" s="1"/>
  <c r="J780" i="5" s="1"/>
  <c r="G781" i="5"/>
  <c r="I781" i="5" s="1"/>
  <c r="J781" i="5" s="1"/>
  <c r="G782" i="5"/>
  <c r="I782" i="5" s="1"/>
  <c r="J782" i="5" s="1"/>
  <c r="G783" i="5"/>
  <c r="I783" i="5" s="1"/>
  <c r="J783" i="5" s="1"/>
  <c r="G784" i="5"/>
  <c r="I784" i="5" s="1"/>
  <c r="J784" i="5" s="1"/>
  <c r="G785" i="5"/>
  <c r="I785" i="5" s="1"/>
  <c r="J785" i="5" s="1"/>
  <c r="G786" i="5"/>
  <c r="I786" i="5" s="1"/>
  <c r="J786" i="5" s="1"/>
  <c r="G787" i="5"/>
  <c r="I787" i="5" s="1"/>
  <c r="J787" i="5" s="1"/>
  <c r="G788" i="5"/>
  <c r="I788" i="5" s="1"/>
  <c r="J788" i="5" s="1"/>
  <c r="G789" i="5"/>
  <c r="I789" i="5" s="1"/>
  <c r="J789" i="5" s="1"/>
  <c r="G790" i="5"/>
  <c r="I790" i="5" s="1"/>
  <c r="J790" i="5" s="1"/>
  <c r="G791" i="5"/>
  <c r="I791" i="5" s="1"/>
  <c r="J791" i="5" s="1"/>
  <c r="G792" i="5"/>
  <c r="I792" i="5" s="1"/>
  <c r="J792" i="5" s="1"/>
  <c r="G793" i="5"/>
  <c r="I793" i="5" s="1"/>
  <c r="J793" i="5" s="1"/>
  <c r="G794" i="5"/>
  <c r="I794" i="5" s="1"/>
  <c r="J794" i="5" s="1"/>
  <c r="G795" i="5"/>
  <c r="I795" i="5" s="1"/>
  <c r="J795" i="5" s="1"/>
  <c r="G796" i="5"/>
  <c r="I796" i="5" s="1"/>
  <c r="J796" i="5" s="1"/>
  <c r="G797" i="5"/>
  <c r="I797" i="5" s="1"/>
  <c r="J797" i="5" s="1"/>
  <c r="G798" i="5"/>
  <c r="I798" i="5" s="1"/>
  <c r="J798" i="5" s="1"/>
  <c r="G799" i="5"/>
  <c r="I799" i="5" s="1"/>
  <c r="J799" i="5" s="1"/>
  <c r="G800" i="5"/>
  <c r="I800" i="5" s="1"/>
  <c r="J800" i="5" s="1"/>
  <c r="G801" i="5"/>
  <c r="I801" i="5" s="1"/>
  <c r="J801" i="5" s="1"/>
  <c r="G802" i="5"/>
  <c r="I802" i="5" s="1"/>
  <c r="J802" i="5" s="1"/>
  <c r="G803" i="5"/>
  <c r="I803" i="5" s="1"/>
  <c r="J803" i="5" s="1"/>
  <c r="G804" i="5"/>
  <c r="I804" i="5" s="1"/>
  <c r="J804" i="5" s="1"/>
  <c r="G805" i="5"/>
  <c r="I805" i="5" s="1"/>
  <c r="J805" i="5" s="1"/>
  <c r="G806" i="5"/>
  <c r="I806" i="5" s="1"/>
  <c r="J806" i="5" s="1"/>
  <c r="G807" i="5"/>
  <c r="I807" i="5" s="1"/>
  <c r="J807" i="5" s="1"/>
  <c r="G808" i="5"/>
  <c r="I808" i="5" s="1"/>
  <c r="J808" i="5" s="1"/>
  <c r="G809" i="5"/>
  <c r="I809" i="5" s="1"/>
  <c r="J809" i="5" s="1"/>
  <c r="G810" i="5"/>
  <c r="I810" i="5" s="1"/>
  <c r="J810" i="5" s="1"/>
  <c r="G811" i="5"/>
  <c r="I811" i="5" s="1"/>
  <c r="J811" i="5" s="1"/>
  <c r="G812" i="5"/>
  <c r="I812" i="5" s="1"/>
  <c r="J812" i="5" s="1"/>
  <c r="G813" i="5"/>
  <c r="I813" i="5" s="1"/>
  <c r="J813" i="5" s="1"/>
  <c r="G814" i="5"/>
  <c r="I814" i="5" s="1"/>
  <c r="J814" i="5" s="1"/>
  <c r="G815" i="5"/>
  <c r="I815" i="5" s="1"/>
  <c r="J815" i="5" s="1"/>
  <c r="G816" i="5"/>
  <c r="I816" i="5" s="1"/>
  <c r="J816" i="5" s="1"/>
  <c r="G817" i="5"/>
  <c r="I817" i="5" s="1"/>
  <c r="J817" i="5" s="1"/>
  <c r="G818" i="5"/>
  <c r="I818" i="5" s="1"/>
  <c r="J818" i="5" s="1"/>
  <c r="G819" i="5"/>
  <c r="I819" i="5" s="1"/>
  <c r="J819" i="5" s="1"/>
  <c r="G820" i="5"/>
  <c r="I820" i="5" s="1"/>
  <c r="J820" i="5" s="1"/>
  <c r="G821" i="5"/>
  <c r="I821" i="5" s="1"/>
  <c r="J821" i="5" s="1"/>
  <c r="G822" i="5"/>
  <c r="I822" i="5" s="1"/>
  <c r="J822" i="5" s="1"/>
  <c r="G823" i="5"/>
  <c r="I823" i="5" s="1"/>
  <c r="J823" i="5" s="1"/>
  <c r="G824" i="5"/>
  <c r="I824" i="5" s="1"/>
  <c r="J824" i="5" s="1"/>
  <c r="G825" i="5"/>
  <c r="I825" i="5" s="1"/>
  <c r="J825" i="5" s="1"/>
  <c r="G826" i="5"/>
  <c r="I826" i="5" s="1"/>
  <c r="J826" i="5" s="1"/>
  <c r="G827" i="5"/>
  <c r="I827" i="5" s="1"/>
  <c r="J827" i="5" s="1"/>
  <c r="G828" i="5"/>
  <c r="I828" i="5" s="1"/>
  <c r="J828" i="5" s="1"/>
  <c r="G829" i="5"/>
  <c r="I829" i="5" s="1"/>
  <c r="J829" i="5" s="1"/>
  <c r="G830" i="5"/>
  <c r="I830" i="5" s="1"/>
  <c r="J830" i="5" s="1"/>
  <c r="G831" i="5"/>
  <c r="I831" i="5" s="1"/>
  <c r="J831" i="5" s="1"/>
  <c r="G832" i="5"/>
  <c r="I832" i="5" s="1"/>
  <c r="J832" i="5" s="1"/>
  <c r="G833" i="5"/>
  <c r="I833" i="5" s="1"/>
  <c r="J833" i="5" s="1"/>
  <c r="G834" i="5"/>
  <c r="I834" i="5" s="1"/>
  <c r="J834" i="5" s="1"/>
  <c r="G835" i="5"/>
  <c r="I835" i="5" s="1"/>
  <c r="J835" i="5" s="1"/>
  <c r="G836" i="5"/>
  <c r="I836" i="5" s="1"/>
  <c r="J836" i="5" s="1"/>
  <c r="G837" i="5"/>
  <c r="I837" i="5" s="1"/>
  <c r="J837" i="5" s="1"/>
  <c r="G838" i="5"/>
  <c r="I838" i="5" s="1"/>
  <c r="J838" i="5" s="1"/>
  <c r="G839" i="5"/>
  <c r="I839" i="5" s="1"/>
  <c r="J839" i="5" s="1"/>
  <c r="G840" i="5"/>
  <c r="I840" i="5" s="1"/>
  <c r="J840" i="5" s="1"/>
  <c r="G841" i="5"/>
  <c r="I841" i="5" s="1"/>
  <c r="J841" i="5" s="1"/>
  <c r="G842" i="5"/>
  <c r="I842" i="5" s="1"/>
  <c r="J842" i="5" s="1"/>
  <c r="G843" i="5"/>
  <c r="I843" i="5" s="1"/>
  <c r="J843" i="5" s="1"/>
  <c r="G844" i="5"/>
  <c r="I844" i="5" s="1"/>
  <c r="J844" i="5" s="1"/>
  <c r="G845" i="5"/>
  <c r="I845" i="5" s="1"/>
  <c r="J845" i="5" s="1"/>
  <c r="G846" i="5"/>
  <c r="I846" i="5" s="1"/>
  <c r="J846" i="5" s="1"/>
  <c r="G847" i="5"/>
  <c r="I847" i="5" s="1"/>
  <c r="J847" i="5" s="1"/>
  <c r="G848" i="5"/>
  <c r="I848" i="5" s="1"/>
  <c r="J848" i="5" s="1"/>
  <c r="G849" i="5"/>
  <c r="I849" i="5" s="1"/>
  <c r="J849" i="5" s="1"/>
  <c r="G850" i="5"/>
  <c r="I850" i="5" s="1"/>
  <c r="J850" i="5" s="1"/>
  <c r="G851" i="5"/>
  <c r="I851" i="5" s="1"/>
  <c r="J851" i="5" s="1"/>
  <c r="H2" i="5" a="1"/>
  <c r="H3" i="5" a="1"/>
  <c r="H4" i="5" a="1"/>
  <c r="H5" i="5" a="1"/>
  <c r="H6" i="5" a="1"/>
  <c r="H7" i="5" a="1"/>
  <c r="H8" i="5" a="1"/>
  <c r="H9" i="5" a="1"/>
  <c r="H10" i="5" a="1"/>
  <c r="H11" i="5" a="1"/>
  <c r="H12" i="5" a="1"/>
  <c r="H13" i="5" a="1"/>
  <c r="H14" i="5" a="1"/>
  <c r="H15" i="5" a="1"/>
  <c r="H16" i="5" a="1"/>
  <c r="H17" i="5" a="1"/>
  <c r="H18" i="5" a="1"/>
  <c r="H19" i="5" a="1"/>
  <c r="H20" i="5" a="1"/>
  <c r="H21" i="5" a="1"/>
  <c r="H22" i="5" a="1"/>
  <c r="H23" i="5" a="1"/>
  <c r="H24" i="5" a="1"/>
  <c r="H25" i="5" a="1"/>
  <c r="H26" i="5" a="1"/>
  <c r="H27" i="5" a="1"/>
  <c r="H28" i="5" a="1"/>
  <c r="H29" i="5" a="1"/>
  <c r="H30" i="5" a="1"/>
  <c r="H31" i="5" a="1"/>
  <c r="H32" i="5" a="1"/>
  <c r="H33" i="5" a="1"/>
  <c r="H34" i="5" a="1"/>
  <c r="H35" i="5" a="1"/>
  <c r="H36" i="5" a="1"/>
  <c r="H37" i="5" a="1"/>
  <c r="H38" i="5" a="1"/>
  <c r="H39" i="5" a="1"/>
  <c r="H40" i="5" a="1"/>
  <c r="H41" i="5" a="1"/>
  <c r="H42" i="5" a="1"/>
  <c r="H43" i="5" a="1"/>
  <c r="H44" i="5" a="1"/>
  <c r="H45" i="5" a="1"/>
  <c r="H46" i="5" a="1"/>
  <c r="H47" i="5" a="1"/>
  <c r="H48" i="5" a="1"/>
  <c r="H49" i="5" a="1"/>
  <c r="H50" i="5" a="1"/>
  <c r="H51" i="5" a="1"/>
  <c r="H52" i="5" a="1"/>
  <c r="H53" i="5" a="1"/>
  <c r="H54" i="5" a="1"/>
  <c r="H55" i="5" a="1"/>
  <c r="H56" i="5" a="1"/>
  <c r="H57" i="5" a="1"/>
  <c r="H58" i="5" a="1"/>
  <c r="H59" i="5" a="1"/>
  <c r="H60" i="5" a="1"/>
  <c r="H61" i="5" a="1"/>
  <c r="H62" i="5" a="1"/>
  <c r="H63" i="5" a="1"/>
  <c r="H64" i="5" a="1"/>
  <c r="H65" i="5" a="1"/>
  <c r="H66" i="5" a="1"/>
  <c r="H67" i="5" a="1"/>
  <c r="H68" i="5" a="1"/>
  <c r="H69" i="5" a="1"/>
  <c r="H70" i="5" a="1"/>
  <c r="H71" i="5" a="1"/>
  <c r="H72" i="5" a="1"/>
  <c r="H73" i="5" a="1"/>
  <c r="H74" i="5" a="1"/>
  <c r="H75" i="5" a="1"/>
  <c r="H76" i="5" a="1"/>
  <c r="H77" i="5" a="1"/>
  <c r="H78" i="5" a="1"/>
  <c r="H79" i="5" a="1"/>
  <c r="H80" i="5" a="1"/>
  <c r="H81" i="5" a="1"/>
  <c r="H82" i="5" a="1"/>
  <c r="H83" i="5" a="1"/>
  <c r="H84" i="5" a="1"/>
  <c r="H85" i="5" a="1"/>
  <c r="H86" i="5" a="1"/>
  <c r="H87" i="5" a="1"/>
  <c r="H88" i="5" a="1"/>
  <c r="H89" i="5" a="1"/>
  <c r="H90" i="5" a="1"/>
  <c r="H91" i="5" a="1"/>
  <c r="H92" i="5" a="1"/>
  <c r="H93" i="5" a="1"/>
  <c r="H94" i="5" a="1"/>
  <c r="H95" i="5" a="1"/>
  <c r="H96" i="5" a="1"/>
  <c r="H97" i="5" a="1"/>
  <c r="H98" i="5" a="1"/>
  <c r="H99" i="5" a="1"/>
  <c r="H100" i="5" a="1"/>
  <c r="H101" i="5" a="1"/>
  <c r="H102" i="5" a="1"/>
  <c r="H103" i="5" a="1"/>
  <c r="H104" i="5" a="1"/>
  <c r="H105" i="5" a="1"/>
  <c r="H106" i="5" a="1"/>
  <c r="H107" i="5" a="1"/>
  <c r="H108" i="5" a="1"/>
  <c r="H109" i="5" a="1"/>
  <c r="H110" i="5" a="1"/>
  <c r="H111" i="5" a="1"/>
  <c r="H112" i="5" a="1"/>
  <c r="H113" i="5" a="1"/>
  <c r="H114" i="5" a="1"/>
  <c r="H115" i="5" a="1"/>
  <c r="H116" i="5" a="1"/>
  <c r="H117" i="5" a="1"/>
  <c r="H118" i="5" a="1"/>
  <c r="H119" i="5" a="1"/>
  <c r="H120" i="5" a="1"/>
  <c r="H121" i="5" a="1"/>
  <c r="H122" i="5" a="1"/>
  <c r="H123" i="5" a="1"/>
  <c r="H124" i="5" a="1"/>
  <c r="H125" i="5" a="1"/>
  <c r="H126" i="5" a="1"/>
  <c r="H127" i="5" a="1"/>
  <c r="H128" i="5" a="1"/>
  <c r="H129" i="5" a="1"/>
  <c r="H130" i="5" a="1"/>
  <c r="H131" i="5" a="1"/>
  <c r="H132" i="5" a="1"/>
  <c r="H133" i="5" a="1"/>
  <c r="H134" i="5" a="1"/>
  <c r="H135" i="5" a="1"/>
  <c r="H136" i="5" a="1"/>
  <c r="H137" i="5" a="1"/>
  <c r="H138" i="5" a="1"/>
  <c r="H139" i="5" a="1"/>
  <c r="H140" i="5" a="1"/>
  <c r="H141" i="5" a="1"/>
  <c r="H142" i="5" a="1"/>
  <c r="H143" i="5" a="1"/>
  <c r="H144" i="5" a="1"/>
  <c r="H145" i="5" a="1"/>
  <c r="H146" i="5" a="1"/>
  <c r="H147" i="5" a="1"/>
  <c r="H148" i="5" a="1"/>
  <c r="H149" i="5" a="1"/>
  <c r="H150" i="5" a="1"/>
  <c r="H151" i="5" a="1"/>
  <c r="H152" i="5" a="1"/>
  <c r="H153" i="5" a="1"/>
  <c r="H154" i="5" a="1"/>
  <c r="H155" i="5" a="1"/>
  <c r="H156" i="5" a="1"/>
  <c r="H157" i="5" a="1"/>
  <c r="H158" i="5" a="1"/>
  <c r="H159" i="5" a="1"/>
  <c r="H160" i="5" a="1"/>
  <c r="H161" i="5" a="1"/>
  <c r="H162" i="5" a="1"/>
  <c r="H163" i="5" a="1"/>
  <c r="H164" i="5" a="1"/>
  <c r="H165" i="5" a="1"/>
  <c r="H166" i="5" a="1"/>
  <c r="H167" i="5" a="1"/>
  <c r="H168" i="5" a="1"/>
  <c r="H169" i="5" a="1"/>
  <c r="H170" i="5" a="1"/>
  <c r="H171" i="5" a="1"/>
  <c r="H172" i="5" a="1"/>
  <c r="H173" i="5" a="1"/>
  <c r="H174" i="5" a="1"/>
  <c r="H175" i="5" a="1"/>
  <c r="H176" i="5" a="1"/>
  <c r="H177" i="5" a="1"/>
  <c r="H178" i="5" a="1"/>
  <c r="H179" i="5" a="1"/>
  <c r="H180" i="5" a="1"/>
  <c r="H181" i="5" a="1"/>
  <c r="H182" i="5" a="1"/>
  <c r="H183" i="5" a="1"/>
  <c r="H184" i="5" a="1"/>
  <c r="H185" i="5" a="1"/>
  <c r="H186" i="5" a="1"/>
  <c r="H187" i="5" a="1"/>
  <c r="H188" i="5" a="1"/>
  <c r="H189" i="5" a="1"/>
  <c r="H190" i="5" a="1"/>
  <c r="H191" i="5" a="1"/>
  <c r="H192" i="5" a="1"/>
  <c r="H193" i="5" a="1"/>
  <c r="H194" i="5" a="1"/>
  <c r="H195" i="5" a="1"/>
  <c r="H196" i="5" a="1"/>
  <c r="H197" i="5" a="1"/>
  <c r="H198" i="5" a="1"/>
  <c r="H199" i="5" a="1"/>
  <c r="H200" i="5" a="1"/>
  <c r="H201" i="5" a="1"/>
  <c r="H202" i="5" a="1"/>
  <c r="H203" i="5" a="1"/>
  <c r="H204" i="5" a="1"/>
  <c r="H205" i="5" a="1"/>
  <c r="H206" i="5" a="1"/>
  <c r="H207" i="5" a="1"/>
  <c r="H208" i="5" a="1"/>
  <c r="H209" i="5" a="1"/>
  <c r="H210" i="5" a="1"/>
  <c r="H211" i="5" a="1"/>
  <c r="H212" i="5" a="1"/>
  <c r="H213" i="5" a="1"/>
  <c r="H214" i="5" a="1"/>
  <c r="H215" i="5" a="1"/>
  <c r="H216" i="5" a="1"/>
  <c r="H217" i="5" a="1"/>
  <c r="H218" i="5" a="1"/>
  <c r="H219" i="5" a="1"/>
  <c r="H220" i="5" a="1"/>
  <c r="H221" i="5" a="1"/>
  <c r="H222" i="5" a="1"/>
  <c r="H223" i="5" a="1"/>
  <c r="H224" i="5" a="1"/>
  <c r="H225" i="5" a="1"/>
  <c r="H226" i="5" a="1"/>
  <c r="H227" i="5" a="1"/>
  <c r="H228" i="5" a="1"/>
  <c r="H229" i="5" a="1"/>
  <c r="H230" i="5" a="1"/>
  <c r="H231" i="5" a="1"/>
  <c r="H232" i="5" a="1"/>
  <c r="H233" i="5" a="1"/>
  <c r="H234" i="5" a="1"/>
  <c r="H235" i="5" a="1"/>
  <c r="H236" i="5" a="1"/>
  <c r="H237" i="5" a="1"/>
  <c r="H238" i="5" a="1"/>
  <c r="H239" i="5" a="1"/>
  <c r="H240" i="5" a="1"/>
  <c r="H241" i="5" a="1"/>
  <c r="H242" i="5" a="1"/>
  <c r="H243" i="5" a="1"/>
  <c r="H244" i="5" a="1"/>
  <c r="H245" i="5" a="1"/>
  <c r="H246" i="5" a="1"/>
  <c r="H247" i="5" a="1"/>
  <c r="H248" i="5" a="1"/>
  <c r="H249" i="5" a="1"/>
  <c r="H250" i="5" a="1"/>
  <c r="H251" i="5" a="1"/>
  <c r="H252" i="5" a="1"/>
  <c r="H253" i="5" a="1"/>
  <c r="H254" i="5" a="1"/>
  <c r="H255" i="5" a="1"/>
  <c r="H256" i="5" a="1"/>
  <c r="H257" i="5" a="1"/>
  <c r="H258" i="5" a="1"/>
  <c r="H259" i="5" a="1"/>
  <c r="H260" i="5" a="1"/>
  <c r="H261" i="5" a="1"/>
  <c r="H262" i="5" a="1"/>
  <c r="H263" i="5" a="1"/>
  <c r="H264" i="5" a="1"/>
  <c r="H265" i="5" a="1"/>
  <c r="H266" i="5" a="1"/>
  <c r="H267" i="5" a="1"/>
  <c r="H268" i="5" a="1"/>
  <c r="H269" i="5" a="1"/>
  <c r="H270" i="5" a="1"/>
  <c r="H271" i="5" a="1"/>
  <c r="H272" i="5" a="1"/>
  <c r="H273" i="5" a="1"/>
  <c r="H274" i="5" a="1"/>
  <c r="H275" i="5" a="1"/>
  <c r="H276" i="5" a="1"/>
  <c r="H277" i="5" a="1"/>
  <c r="H278" i="5" a="1"/>
  <c r="H279" i="5" a="1"/>
  <c r="H280" i="5" a="1"/>
  <c r="H281" i="5" a="1"/>
  <c r="H282" i="5" a="1"/>
  <c r="H283" i="5" a="1"/>
  <c r="H284" i="5" a="1"/>
  <c r="H285" i="5" a="1"/>
  <c r="H286" i="5" a="1"/>
  <c r="H287" i="5" a="1"/>
  <c r="H288" i="5" a="1"/>
  <c r="H289" i="5" a="1"/>
  <c r="H290" i="5" a="1"/>
  <c r="H291" i="5" a="1"/>
  <c r="H292" i="5" a="1"/>
  <c r="H293" i="5" a="1"/>
  <c r="H294" i="5" a="1"/>
  <c r="H295" i="5" a="1"/>
  <c r="H296" i="5" a="1"/>
  <c r="H297" i="5" a="1"/>
  <c r="H298" i="5" a="1"/>
  <c r="H299" i="5" a="1"/>
  <c r="H300" i="5" a="1"/>
  <c r="H301" i="5" a="1"/>
  <c r="H302" i="5" a="1"/>
  <c r="H303" i="5" a="1"/>
  <c r="H304" i="5" a="1"/>
  <c r="H305" i="5" a="1"/>
  <c r="H306" i="5" a="1"/>
  <c r="H307" i="5" a="1"/>
  <c r="H308" i="5" a="1"/>
  <c r="H309" i="5" a="1"/>
  <c r="H310" i="5" a="1"/>
  <c r="H311" i="5" a="1"/>
  <c r="H312" i="5" a="1"/>
  <c r="H313" i="5" a="1"/>
  <c r="H314" i="5" a="1"/>
  <c r="H315" i="5" a="1"/>
  <c r="H316" i="5" a="1"/>
  <c r="H317" i="5" a="1"/>
  <c r="H318" i="5" a="1"/>
  <c r="H319" i="5" a="1"/>
  <c r="H320" i="5" a="1"/>
  <c r="H321" i="5" a="1"/>
  <c r="H322" i="5" a="1"/>
  <c r="H323" i="5" a="1"/>
  <c r="H324" i="5" a="1"/>
  <c r="H325" i="5" a="1"/>
  <c r="H326" i="5" a="1"/>
  <c r="H327" i="5" a="1"/>
  <c r="H328" i="5" a="1"/>
  <c r="H329" i="5" a="1"/>
  <c r="H330" i="5" a="1"/>
  <c r="H331" i="5" a="1"/>
  <c r="H332" i="5" a="1"/>
  <c r="H333" i="5" a="1"/>
  <c r="H334" i="5" a="1"/>
  <c r="H335" i="5" a="1"/>
  <c r="H336" i="5" a="1"/>
  <c r="H337" i="5" a="1"/>
  <c r="H338" i="5" a="1"/>
  <c r="H339" i="5" a="1"/>
  <c r="H340" i="5" a="1"/>
  <c r="H341" i="5" a="1"/>
  <c r="H342" i="5" a="1"/>
  <c r="H343" i="5" a="1"/>
  <c r="H344" i="5" a="1"/>
  <c r="H345" i="5" a="1"/>
  <c r="H346" i="5" a="1"/>
  <c r="H347" i="5" a="1"/>
  <c r="H348" i="5" a="1"/>
  <c r="H349" i="5" a="1"/>
  <c r="H350" i="5" a="1"/>
  <c r="H351" i="5" a="1"/>
  <c r="H352" i="5" a="1"/>
  <c r="H353" i="5" a="1"/>
  <c r="H354" i="5" a="1"/>
  <c r="H355" i="5" a="1"/>
  <c r="H356" i="5" a="1"/>
  <c r="H357" i="5" a="1"/>
  <c r="H358" i="5" a="1"/>
  <c r="H359" i="5" a="1"/>
  <c r="H360" i="5" a="1"/>
  <c r="H361" i="5" a="1"/>
  <c r="H362" i="5" a="1"/>
  <c r="H363" i="5" a="1"/>
  <c r="H364" i="5" a="1"/>
  <c r="H365" i="5" a="1"/>
  <c r="H366" i="5" a="1"/>
  <c r="H367" i="5" a="1"/>
  <c r="H368" i="5" a="1"/>
  <c r="H369" i="5" a="1"/>
  <c r="H370" i="5" a="1"/>
  <c r="H371" i="5" a="1"/>
  <c r="H372" i="5" a="1"/>
  <c r="H373" i="5" a="1"/>
  <c r="H374" i="5" a="1"/>
  <c r="H375" i="5" a="1"/>
  <c r="H376" i="5" a="1"/>
  <c r="H377" i="5" a="1"/>
  <c r="H378" i="5" a="1"/>
  <c r="H379" i="5" a="1"/>
  <c r="H380" i="5" a="1"/>
  <c r="H381" i="5" a="1"/>
  <c r="H382" i="5" a="1"/>
  <c r="H383" i="5" a="1"/>
  <c r="H384" i="5" a="1"/>
  <c r="H385" i="5" a="1"/>
  <c r="H386" i="5" a="1"/>
  <c r="H387" i="5" a="1"/>
  <c r="H388" i="5" a="1"/>
  <c r="H389" i="5" a="1"/>
  <c r="H390" i="5" a="1"/>
  <c r="H391" i="5" a="1"/>
  <c r="H392" i="5" a="1"/>
  <c r="H393" i="5" a="1"/>
  <c r="H394" i="5" a="1"/>
  <c r="H395" i="5" a="1"/>
  <c r="H396" i="5" a="1"/>
  <c r="H397" i="5" a="1"/>
  <c r="H398" i="5" a="1"/>
  <c r="H399" i="5" a="1"/>
  <c r="H400" i="5" a="1"/>
  <c r="H401" i="5" a="1"/>
  <c r="H402" i="5" a="1"/>
  <c r="H403" i="5" a="1"/>
  <c r="H404" i="5" a="1"/>
  <c r="H405" i="5" a="1"/>
  <c r="H406" i="5" a="1"/>
  <c r="H407" i="5" a="1"/>
  <c r="H408" i="5" a="1"/>
  <c r="H409" i="5" a="1"/>
  <c r="H410" i="5" a="1"/>
  <c r="H411" i="5" a="1"/>
  <c r="H412" i="5" a="1"/>
  <c r="H413" i="5" a="1"/>
  <c r="H414" i="5" a="1"/>
  <c r="H415" i="5" a="1"/>
  <c r="H416" i="5" a="1"/>
  <c r="H417" i="5" a="1"/>
  <c r="H418" i="5" a="1"/>
  <c r="H419" i="5" a="1"/>
  <c r="H420" i="5" a="1"/>
  <c r="H421" i="5" a="1"/>
  <c r="H422" i="5" a="1"/>
  <c r="H423" i="5" a="1"/>
  <c r="H424" i="5" a="1"/>
  <c r="H425" i="5" a="1"/>
  <c r="H426" i="5" a="1"/>
  <c r="H427" i="5" a="1"/>
  <c r="H428" i="5" a="1"/>
  <c r="H429" i="5" a="1"/>
  <c r="H430" i="5" a="1"/>
  <c r="H431" i="5" a="1"/>
  <c r="H432" i="5" a="1"/>
  <c r="H433" i="5" a="1"/>
  <c r="H434" i="5" a="1"/>
  <c r="H435" i="5" a="1"/>
  <c r="H436" i="5" a="1"/>
  <c r="H437" i="5" a="1"/>
  <c r="H438" i="5" a="1"/>
  <c r="H439" i="5" a="1"/>
  <c r="H440" i="5" a="1"/>
  <c r="H441" i="5" a="1"/>
  <c r="H442" i="5" a="1"/>
  <c r="H443" i="5" a="1"/>
  <c r="H444" i="5" a="1"/>
  <c r="H445" i="5" a="1"/>
  <c r="H446" i="5" a="1"/>
  <c r="H447" i="5" a="1"/>
  <c r="H448" i="5" a="1"/>
  <c r="H449" i="5" a="1"/>
  <c r="H450" i="5" a="1"/>
  <c r="H451" i="5" a="1"/>
  <c r="H452" i="5" a="1"/>
  <c r="H453" i="5" a="1"/>
  <c r="H454" i="5" a="1"/>
  <c r="H455" i="5" a="1"/>
  <c r="H456" i="5" a="1"/>
  <c r="H457" i="5" a="1"/>
  <c r="H458" i="5" a="1"/>
  <c r="H459" i="5" a="1"/>
  <c r="H460" i="5" a="1"/>
  <c r="H461" i="5" a="1"/>
  <c r="H462" i="5" a="1"/>
  <c r="H463" i="5" a="1"/>
  <c r="H464" i="5" a="1"/>
  <c r="H465" i="5" a="1"/>
  <c r="H466" i="5" a="1"/>
  <c r="H467" i="5" a="1"/>
  <c r="H468" i="5" a="1"/>
  <c r="H469" i="5" a="1"/>
  <c r="H470" i="5" a="1"/>
  <c r="H471" i="5" a="1"/>
  <c r="H472" i="5" a="1"/>
  <c r="H473" i="5" a="1"/>
  <c r="H474" i="5" a="1"/>
  <c r="H475" i="5" a="1"/>
  <c r="H476" i="5" a="1"/>
  <c r="H477" i="5" a="1"/>
  <c r="H478" i="5" a="1"/>
  <c r="H479" i="5" a="1"/>
  <c r="H480" i="5" a="1"/>
  <c r="H481" i="5" a="1"/>
  <c r="H482" i="5" a="1"/>
  <c r="H483" i="5" a="1"/>
  <c r="H484" i="5" a="1"/>
  <c r="H485" i="5" a="1"/>
  <c r="H486" i="5" a="1"/>
  <c r="H487" i="5" a="1"/>
  <c r="H488" i="5" a="1"/>
  <c r="H489" i="5" a="1"/>
  <c r="H490" i="5" a="1"/>
  <c r="H491" i="5" a="1"/>
  <c r="H492" i="5" a="1"/>
  <c r="H493" i="5" a="1"/>
  <c r="H494" i="5" a="1"/>
  <c r="H495" i="5" a="1"/>
  <c r="H496" i="5" a="1"/>
  <c r="H497" i="5" a="1"/>
  <c r="H498" i="5" a="1"/>
  <c r="H499" i="5" a="1"/>
  <c r="H500" i="5" a="1"/>
  <c r="H501" i="5" a="1"/>
  <c r="H502" i="5" a="1"/>
  <c r="H503" i="5" a="1"/>
  <c r="H504" i="5" a="1"/>
  <c r="H505" i="5" a="1"/>
  <c r="H506" i="5" a="1"/>
  <c r="H507" i="5" a="1"/>
  <c r="H508" i="5" a="1"/>
  <c r="H509" i="5" a="1"/>
  <c r="H510" i="5" a="1"/>
  <c r="H511" i="5" a="1"/>
  <c r="H512" i="5" a="1"/>
  <c r="H513" i="5" a="1"/>
  <c r="H514" i="5" a="1"/>
  <c r="H515" i="5" a="1"/>
  <c r="H516" i="5" a="1"/>
  <c r="H517" i="5" a="1"/>
  <c r="H518" i="5" a="1"/>
  <c r="H519" i="5" a="1"/>
  <c r="H520" i="5" a="1"/>
  <c r="H521" i="5" a="1"/>
  <c r="H522" i="5" a="1"/>
  <c r="H523" i="5" a="1"/>
  <c r="H524" i="5" a="1"/>
  <c r="H525" i="5" a="1"/>
  <c r="H526" i="5" a="1"/>
  <c r="H527" i="5" a="1"/>
  <c r="H528" i="5" a="1"/>
  <c r="H529" i="5" a="1"/>
  <c r="H530" i="5" a="1"/>
  <c r="H531" i="5" a="1"/>
  <c r="H532" i="5" a="1"/>
  <c r="H533" i="5" a="1"/>
  <c r="H534" i="5" a="1"/>
  <c r="H535" i="5" a="1"/>
  <c r="H536" i="5" a="1"/>
  <c r="H537" i="5" a="1"/>
  <c r="H538" i="5" a="1"/>
  <c r="H539" i="5" a="1"/>
  <c r="H540" i="5" a="1"/>
  <c r="H541" i="5" a="1"/>
  <c r="H542" i="5" a="1"/>
  <c r="H543" i="5" a="1"/>
  <c r="H544" i="5" a="1"/>
  <c r="H545" i="5" a="1"/>
  <c r="H546" i="5" a="1"/>
  <c r="H547" i="5" a="1"/>
  <c r="H548" i="5" a="1"/>
  <c r="H549" i="5" a="1"/>
  <c r="H550" i="5" a="1"/>
  <c r="H551" i="5" a="1"/>
  <c r="H552" i="5" a="1"/>
  <c r="H553" i="5" a="1"/>
  <c r="H554" i="5" a="1"/>
  <c r="H555" i="5" a="1"/>
  <c r="H556" i="5" a="1"/>
  <c r="H557" i="5" a="1"/>
  <c r="H558" i="5" a="1"/>
  <c r="H559" i="5" a="1"/>
  <c r="H560" i="5" a="1"/>
  <c r="H561" i="5" a="1"/>
  <c r="H562" i="5" a="1"/>
  <c r="H563" i="5" a="1"/>
  <c r="H564" i="5" a="1"/>
  <c r="H565" i="5" a="1"/>
  <c r="H566" i="5" a="1"/>
  <c r="H567" i="5" a="1"/>
  <c r="H568" i="5" a="1"/>
  <c r="H569" i="5" a="1"/>
  <c r="H570" i="5" a="1"/>
  <c r="H571" i="5" a="1"/>
  <c r="H572" i="5" a="1"/>
  <c r="H573" i="5" a="1"/>
  <c r="H574" i="5" a="1"/>
  <c r="H575" i="5" a="1"/>
  <c r="H576" i="5" a="1"/>
  <c r="H577" i="5" a="1"/>
  <c r="H578" i="5" a="1"/>
  <c r="H579" i="5" a="1"/>
  <c r="H580" i="5" a="1"/>
  <c r="H581" i="5" a="1"/>
  <c r="H582" i="5" a="1"/>
  <c r="H583" i="5" a="1"/>
  <c r="H584" i="5" a="1"/>
  <c r="H585" i="5" a="1"/>
  <c r="H586" i="5" a="1"/>
  <c r="H587" i="5" a="1"/>
  <c r="H588" i="5" a="1"/>
  <c r="H589" i="5" a="1"/>
  <c r="H590" i="5" a="1"/>
  <c r="H591" i="5" a="1"/>
  <c r="H592" i="5" a="1"/>
  <c r="H593" i="5" a="1"/>
  <c r="H594" i="5" a="1"/>
  <c r="H595" i="5" a="1"/>
  <c r="H596" i="5" a="1"/>
  <c r="H597" i="5" a="1"/>
  <c r="H598" i="5" a="1"/>
  <c r="H599" i="5" a="1"/>
  <c r="H600" i="5" a="1"/>
  <c r="H601" i="5" a="1"/>
  <c r="H602" i="5" a="1"/>
  <c r="H603" i="5" a="1"/>
  <c r="H604" i="5" a="1"/>
  <c r="H605" i="5" a="1"/>
  <c r="H606" i="5" a="1"/>
  <c r="H607" i="5" a="1"/>
  <c r="H608" i="5" a="1"/>
  <c r="H609" i="5" a="1"/>
  <c r="H610" i="5" a="1"/>
  <c r="H611" i="5" a="1"/>
  <c r="H612" i="5" a="1"/>
  <c r="H613" i="5" a="1"/>
  <c r="H614" i="5" a="1"/>
  <c r="H615" i="5" a="1"/>
  <c r="H616" i="5" a="1"/>
  <c r="H617" i="5" a="1"/>
  <c r="H618" i="5" a="1"/>
  <c r="H619" i="5" a="1"/>
  <c r="H620" i="5" a="1"/>
  <c r="H621" i="5" a="1"/>
  <c r="H622" i="5" a="1"/>
  <c r="H623" i="5" a="1"/>
  <c r="H624" i="5" a="1"/>
  <c r="H625" i="5" a="1"/>
  <c r="H626" i="5" a="1"/>
  <c r="H627" i="5" a="1"/>
  <c r="H628" i="5" a="1"/>
  <c r="H629" i="5" a="1"/>
  <c r="H630" i="5" a="1"/>
  <c r="H631" i="5" a="1"/>
  <c r="H632" i="5" a="1"/>
  <c r="H633" i="5" a="1"/>
  <c r="H634" i="5" a="1"/>
  <c r="H635" i="5" a="1"/>
  <c r="H636" i="5" a="1"/>
  <c r="H637" i="5" a="1"/>
  <c r="H638" i="5" a="1"/>
  <c r="H639" i="5" a="1"/>
  <c r="H640" i="5" a="1"/>
  <c r="H641" i="5" a="1"/>
  <c r="H642" i="5" a="1"/>
  <c r="H643" i="5" a="1"/>
  <c r="H644" i="5" a="1"/>
  <c r="H645" i="5" a="1"/>
  <c r="H646" i="5" a="1"/>
  <c r="H647" i="5" a="1"/>
  <c r="H648" i="5" a="1"/>
  <c r="H649" i="5" a="1"/>
  <c r="H650" i="5" a="1"/>
  <c r="H651" i="5" a="1"/>
  <c r="H652" i="5" a="1"/>
  <c r="H653" i="5" a="1"/>
  <c r="H654" i="5" a="1"/>
  <c r="H655" i="5" a="1"/>
  <c r="H656" i="5" a="1"/>
  <c r="H657" i="5" a="1"/>
  <c r="H658" i="5" a="1"/>
  <c r="H659" i="5" a="1"/>
  <c r="H660" i="5" a="1"/>
  <c r="H661" i="5" a="1"/>
  <c r="H662" i="5" a="1"/>
  <c r="H663" i="5" a="1"/>
  <c r="H664" i="5" a="1"/>
  <c r="H665" i="5" a="1"/>
  <c r="H666" i="5" a="1"/>
  <c r="H667" i="5" a="1"/>
  <c r="H668" i="5" a="1"/>
  <c r="H669" i="5" a="1"/>
  <c r="H670" i="5" a="1"/>
  <c r="H671" i="5" a="1"/>
  <c r="H672" i="5" a="1"/>
  <c r="H673" i="5" a="1"/>
  <c r="H674" i="5" a="1"/>
  <c r="H675" i="5" a="1"/>
  <c r="H676" i="5" a="1"/>
  <c r="H677" i="5" a="1"/>
  <c r="H678" i="5" a="1"/>
  <c r="H679" i="5" a="1"/>
  <c r="H680" i="5" a="1"/>
  <c r="H681" i="5" a="1"/>
  <c r="H682" i="5" a="1"/>
  <c r="H683" i="5" a="1"/>
  <c r="H684" i="5" a="1"/>
  <c r="H685" i="5" a="1"/>
  <c r="H686" i="5" a="1"/>
  <c r="H687" i="5" a="1"/>
  <c r="H688" i="5" a="1"/>
  <c r="H689" i="5" a="1"/>
  <c r="H690" i="5" a="1"/>
  <c r="H691" i="5" a="1"/>
  <c r="H692" i="5" a="1"/>
  <c r="H693" i="5" a="1"/>
  <c r="H694" i="5" a="1"/>
  <c r="H695" i="5" a="1"/>
  <c r="H696" i="5" a="1"/>
  <c r="H697" i="5" a="1"/>
  <c r="H698" i="5" a="1"/>
  <c r="H699" i="5" a="1"/>
  <c r="H700" i="5" a="1"/>
  <c r="H701" i="5" a="1"/>
  <c r="H702" i="5" a="1"/>
  <c r="H703" i="5" a="1"/>
  <c r="H704" i="5" a="1"/>
  <c r="H705" i="5" a="1"/>
  <c r="H706" i="5" a="1"/>
  <c r="H707" i="5" a="1"/>
  <c r="H708" i="5" a="1"/>
  <c r="H709" i="5" a="1"/>
  <c r="H710" i="5" a="1"/>
  <c r="H711" i="5" a="1"/>
  <c r="H712" i="5" a="1"/>
  <c r="H713" i="5" a="1"/>
  <c r="H714" i="5" a="1"/>
  <c r="H715" i="5" a="1"/>
  <c r="H716" i="5" a="1"/>
  <c r="H717" i="5" a="1"/>
  <c r="H718" i="5" a="1"/>
  <c r="H719" i="5" a="1"/>
  <c r="H720" i="5" a="1"/>
  <c r="H721" i="5" a="1"/>
  <c r="H722" i="5" a="1"/>
  <c r="H723" i="5" a="1"/>
  <c r="H724" i="5" a="1"/>
  <c r="H725" i="5" a="1"/>
  <c r="H726" i="5" a="1"/>
  <c r="H727" i="5" a="1"/>
  <c r="H728" i="5" a="1"/>
  <c r="H729" i="5" a="1"/>
  <c r="H730" i="5" a="1"/>
  <c r="H731" i="5" a="1"/>
  <c r="H732" i="5" a="1"/>
  <c r="H733" i="5" a="1"/>
  <c r="H734" i="5" a="1"/>
  <c r="H735" i="5" a="1"/>
  <c r="H736" i="5" a="1"/>
  <c r="H737" i="5" a="1"/>
  <c r="H738" i="5" a="1"/>
  <c r="H739" i="5" a="1"/>
  <c r="H740" i="5" a="1"/>
  <c r="H741" i="5" a="1"/>
  <c r="H742" i="5" a="1"/>
  <c r="H743" i="5" a="1"/>
  <c r="H744" i="5" a="1"/>
  <c r="H745" i="5" a="1"/>
  <c r="H746" i="5" a="1"/>
  <c r="H747" i="5" a="1"/>
  <c r="H748" i="5" a="1"/>
  <c r="H749" i="5" a="1"/>
  <c r="H750" i="5" a="1"/>
  <c r="H751" i="5" a="1"/>
  <c r="H752" i="5" a="1"/>
  <c r="H753" i="5" a="1"/>
  <c r="H754" i="5" a="1"/>
  <c r="H755" i="5" a="1"/>
  <c r="H756" i="5" a="1"/>
  <c r="H757" i="5" a="1"/>
  <c r="H758" i="5" a="1"/>
  <c r="H759" i="5" a="1"/>
  <c r="H760" i="5" a="1"/>
  <c r="H761" i="5" a="1"/>
  <c r="H762" i="5" a="1"/>
  <c r="H763" i="5" a="1"/>
  <c r="H764" i="5" a="1"/>
  <c r="H765" i="5" a="1"/>
  <c r="H766" i="5" a="1"/>
  <c r="H767" i="5" a="1"/>
  <c r="H768" i="5" a="1"/>
  <c r="H769" i="5" a="1"/>
  <c r="H770" i="5" a="1"/>
  <c r="H771" i="5" a="1"/>
  <c r="H772" i="5" a="1"/>
  <c r="H773" i="5" a="1"/>
  <c r="H774" i="5" a="1"/>
  <c r="H775" i="5" a="1"/>
  <c r="H776" i="5" a="1"/>
  <c r="H777" i="5" a="1"/>
  <c r="H778" i="5" a="1"/>
  <c r="H779" i="5" a="1"/>
  <c r="H780" i="5" a="1"/>
  <c r="H781" i="5" a="1"/>
  <c r="H782" i="5" a="1"/>
  <c r="H783" i="5" a="1"/>
  <c r="H784" i="5" a="1"/>
  <c r="H785" i="5" a="1"/>
  <c r="H786" i="5" a="1"/>
  <c r="H787" i="5" a="1"/>
  <c r="H788" i="5" a="1"/>
  <c r="H789" i="5" a="1"/>
  <c r="H790" i="5" a="1"/>
  <c r="H791" i="5" a="1"/>
  <c r="H792" i="5" a="1"/>
  <c r="H793" i="5" a="1"/>
  <c r="H794" i="5" a="1"/>
  <c r="H795" i="5" a="1"/>
  <c r="H796" i="5" a="1"/>
  <c r="H797" i="5" a="1"/>
  <c r="H798" i="5" a="1"/>
  <c r="H799" i="5" a="1"/>
  <c r="H800" i="5" a="1"/>
  <c r="H801" i="5" a="1"/>
  <c r="H802" i="5" a="1"/>
  <c r="H803" i="5" a="1"/>
  <c r="H804" i="5" a="1"/>
  <c r="H805" i="5" a="1"/>
  <c r="H806" i="5" a="1"/>
  <c r="H807" i="5" a="1"/>
  <c r="H808" i="5" a="1"/>
  <c r="H809" i="5" a="1"/>
  <c r="H810" i="5" a="1"/>
  <c r="H811" i="5" a="1"/>
  <c r="H812" i="5" a="1"/>
  <c r="H813" i="5" a="1"/>
  <c r="H814" i="5" a="1"/>
  <c r="H815" i="5" a="1"/>
  <c r="H816" i="5" a="1"/>
  <c r="H817" i="5" a="1"/>
  <c r="H818" i="5" a="1"/>
  <c r="H819" i="5" a="1"/>
  <c r="H820" i="5" a="1"/>
  <c r="H821" i="5" a="1"/>
  <c r="H822" i="5" a="1"/>
  <c r="H823" i="5" a="1"/>
  <c r="H824" i="5" a="1"/>
  <c r="H825" i="5" a="1"/>
  <c r="H826" i="5" a="1"/>
  <c r="H827" i="5" a="1"/>
  <c r="H828" i="5" a="1"/>
  <c r="H829" i="5" a="1"/>
  <c r="H830" i="5" a="1"/>
  <c r="H831" i="5" a="1"/>
  <c r="H832" i="5" a="1"/>
  <c r="H833" i="5" a="1"/>
  <c r="H834" i="5" a="1"/>
  <c r="H835" i="5" a="1"/>
  <c r="H836" i="5" a="1"/>
  <c r="H837" i="5" a="1"/>
  <c r="H838" i="5" a="1"/>
  <c r="H839" i="5" a="1"/>
  <c r="H840" i="5" a="1"/>
  <c r="H841" i="5" a="1"/>
  <c r="H842" i="5" a="1"/>
  <c r="H843" i="5" a="1"/>
  <c r="H844" i="5" a="1"/>
  <c r="H845" i="5" a="1"/>
  <c r="H846" i="5" a="1"/>
  <c r="H847" i="5" a="1"/>
  <c r="H848" i="5" a="1"/>
  <c r="H849" i="5" a="1"/>
  <c r="H850" i="5" a="1"/>
  <c r="H851" i="5" a="1"/>
  <c r="I2" i="5"/>
  <c r="J2" i="5" s="1"/>
  <c r="I3" i="5"/>
  <c r="J3" i="5" s="1"/>
  <c r="I4" i="5"/>
  <c r="J4" i="5" s="1"/>
  <c r="I5" i="5"/>
  <c r="J5" i="5" s="1"/>
  <c r="I6" i="5"/>
  <c r="J6" i="5" s="1"/>
  <c r="I7" i="5"/>
  <c r="J7" i="5" s="1"/>
  <c r="I8" i="5"/>
  <c r="J8" i="5" s="1"/>
  <c r="I9" i="5"/>
  <c r="J9" i="5" s="1"/>
  <c r="I10" i="5"/>
  <c r="J10" i="5" s="1"/>
  <c r="I11" i="5"/>
  <c r="J11" i="5" s="1"/>
  <c r="I12" i="5"/>
  <c r="J12" i="5" s="1"/>
  <c r="I13" i="5"/>
  <c r="J13" i="5" s="1"/>
  <c r="I14" i="5"/>
  <c r="J14" i="5" s="1"/>
  <c r="I15" i="5"/>
  <c r="J15" i="5" s="1"/>
  <c r="I16" i="5"/>
  <c r="J16" i="5" s="1"/>
  <c r="I17" i="5"/>
  <c r="J17" i="5" s="1"/>
  <c r="I18" i="5"/>
  <c r="J18" i="5" s="1"/>
  <c r="I19" i="5"/>
  <c r="J19" i="5" s="1"/>
  <c r="I20" i="5"/>
  <c r="J20" i="5" s="1"/>
  <c r="I21" i="5"/>
  <c r="J21" i="5" s="1"/>
  <c r="I22" i="5"/>
  <c r="J22" i="5" s="1"/>
  <c r="I23" i="5"/>
  <c r="J23" i="5" s="1"/>
  <c r="I24" i="5"/>
  <c r="J24" i="5" s="1"/>
  <c r="I25" i="5"/>
  <c r="J25" i="5" s="1"/>
  <c r="I26" i="5"/>
  <c r="J26" i="5" s="1"/>
  <c r="I27" i="5"/>
  <c r="J27" i="5" s="1"/>
  <c r="I28" i="5"/>
  <c r="J28" i="5" s="1"/>
  <c r="I29" i="5"/>
  <c r="J29" i="5" s="1"/>
  <c r="I30" i="5"/>
  <c r="J30" i="5" s="1"/>
  <c r="I31" i="5"/>
  <c r="J31" i="5" s="1"/>
  <c r="I32" i="5"/>
  <c r="J32" i="5" s="1"/>
  <c r="I33" i="5"/>
  <c r="J33" i="5" s="1"/>
  <c r="I34" i="5"/>
  <c r="J34" i="5" s="1"/>
  <c r="I35" i="5"/>
  <c r="J35" i="5" s="1"/>
  <c r="I36" i="5"/>
  <c r="J36" i="5" s="1"/>
  <c r="I37" i="5"/>
  <c r="J37" i="5" s="1"/>
  <c r="I38" i="5"/>
  <c r="J38" i="5" s="1"/>
  <c r="I39" i="5"/>
  <c r="J39" i="5" s="1"/>
  <c r="I40" i="5"/>
  <c r="J40" i="5" s="1"/>
  <c r="I41" i="5"/>
  <c r="J41" i="5" s="1"/>
  <c r="I42" i="5"/>
  <c r="J42" i="5" s="1"/>
  <c r="I43" i="5"/>
  <c r="J43" i="5" s="1"/>
  <c r="I44" i="5"/>
  <c r="J44" i="5" s="1"/>
  <c r="I45" i="5"/>
  <c r="J45" i="5" s="1"/>
  <c r="I46" i="5"/>
  <c r="J46" i="5" s="1"/>
  <c r="I47" i="5"/>
  <c r="J47" i="5" s="1"/>
  <c r="I48" i="5"/>
  <c r="J48" i="5" s="1"/>
  <c r="I49" i="5"/>
  <c r="J49" i="5" s="1"/>
  <c r="I50" i="5"/>
  <c r="J50" i="5" s="1"/>
  <c r="I51" i="5"/>
  <c r="J51" i="5" s="1"/>
  <c r="I52" i="5"/>
  <c r="J52" i="5" s="1"/>
  <c r="I53" i="5"/>
  <c r="J53" i="5" s="1"/>
  <c r="I54" i="5"/>
  <c r="J54" i="5" s="1"/>
  <c r="I55" i="5"/>
  <c r="J55" i="5" s="1"/>
  <c r="I56" i="5"/>
  <c r="J56" i="5" s="1"/>
  <c r="I57" i="5"/>
  <c r="J57" i="5" s="1"/>
  <c r="I58" i="5"/>
  <c r="J58" i="5" s="1"/>
  <c r="I59" i="5"/>
  <c r="J59" i="5" s="1"/>
  <c r="I60" i="5"/>
  <c r="J60" i="5" s="1"/>
  <c r="I61" i="5"/>
  <c r="J61" i="5" s="1"/>
  <c r="I62" i="5"/>
  <c r="J62" i="5" s="1"/>
  <c r="I63" i="5"/>
  <c r="J63" i="5" s="1"/>
  <c r="I64" i="5"/>
  <c r="J64" i="5" s="1"/>
  <c r="I65" i="5"/>
  <c r="J65" i="5" s="1"/>
  <c r="I66" i="5"/>
  <c r="J66" i="5" s="1"/>
  <c r="H2" i="7"/>
  <c r="H3" i="7"/>
  <c r="H4" i="7"/>
  <c r="H5" i="7"/>
  <c r="H6" i="7"/>
  <c r="H7" i="7"/>
  <c r="H8" i="7"/>
  <c r="H9" i="7"/>
  <c r="H10" i="7"/>
  <c r="H11" i="7"/>
  <c r="H12" i="7"/>
  <c r="H13" i="7"/>
  <c r="H14" i="7"/>
  <c r="H15" i="7"/>
  <c r="H16" i="7"/>
  <c r="H17" i="7"/>
  <c r="H18" i="7"/>
  <c r="H19" i="7"/>
  <c r="H20" i="7"/>
  <c r="H21" i="7"/>
  <c r="H22" i="7"/>
  <c r="H23" i="7"/>
  <c r="H24" i="7"/>
  <c r="H25" i="7"/>
  <c r="H26" i="7"/>
  <c r="H27" i="7"/>
  <c r="H28" i="7"/>
  <c r="H29" i="7"/>
  <c r="H30" i="7"/>
  <c r="H31" i="7"/>
  <c r="I2" i="7"/>
  <c r="I3" i="7"/>
  <c r="I4" i="7"/>
  <c r="I5" i="7"/>
  <c r="I6" i="7"/>
  <c r="I7" i="7"/>
  <c r="I8" i="7"/>
  <c r="I9" i="7"/>
  <c r="I10" i="7"/>
  <c r="I11" i="7"/>
  <c r="I15" i="7"/>
  <c r="I16" i="7"/>
  <c r="I17" i="7"/>
  <c r="I18" i="7"/>
  <c r="I19" i="7"/>
  <c r="I20" i="7"/>
  <c r="I21" i="7"/>
  <c r="I22" i="7"/>
  <c r="I25" i="7"/>
  <c r="I26" i="7"/>
  <c r="I27" i="7"/>
  <c r="J2" i="7"/>
  <c r="J3" i="7"/>
  <c r="J4" i="7"/>
  <c r="J5" i="7"/>
  <c r="J6" i="7"/>
  <c r="J7" i="7"/>
  <c r="J8" i="7"/>
  <c r="J9" i="7"/>
  <c r="J10" i="7"/>
  <c r="J11" i="7"/>
  <c r="J15" i="7"/>
  <c r="J16" i="7"/>
  <c r="J17" i="7"/>
  <c r="J18" i="7"/>
  <c r="J19" i="7"/>
  <c r="J20" i="7"/>
  <c r="J21" i="7"/>
  <c r="J22" i="7"/>
  <c r="J25" i="7"/>
  <c r="J26" i="7"/>
  <c r="J27" i="7"/>
  <c r="K2" i="7" a="1"/>
  <c r="K3" i="7" a="1"/>
  <c r="K4" i="7" a="1"/>
  <c r="K5" i="7" a="1"/>
  <c r="K6" i="7" a="1"/>
  <c r="K7" i="7" a="1"/>
  <c r="K8" i="7" a="1"/>
  <c r="K9" i="7" a="1"/>
  <c r="K10" i="7" a="1"/>
  <c r="K11" i="7" a="1"/>
  <c r="K15" i="7" a="1"/>
  <c r="K16" i="7" a="1"/>
  <c r="K17" i="7" a="1"/>
  <c r="K18" i="7" a="1"/>
  <c r="K19" i="7" a="1"/>
  <c r="K20" i="7" a="1"/>
  <c r="K21" i="7" a="1"/>
  <c r="K22" i="7" a="1"/>
  <c r="K25" i="7" a="1"/>
  <c r="K26" i="7" a="1"/>
  <c r="K27" i="7" a="1"/>
  <c r="L2" i="7"/>
  <c r="L3" i="7"/>
  <c r="L4" i="7"/>
  <c r="L5" i="7"/>
  <c r="L6" i="7"/>
  <c r="L7" i="7"/>
  <c r="L8" i="7"/>
  <c r="L9" i="7"/>
  <c r="L10" i="7"/>
  <c r="L11" i="7"/>
  <c r="L15" i="7"/>
  <c r="L16" i="7"/>
  <c r="L17" i="7"/>
  <c r="L18" i="7"/>
  <c r="L19" i="7"/>
  <c r="L20" i="7"/>
  <c r="L21" i="7"/>
  <c r="L22" i="7"/>
  <c r="L25" i="7"/>
  <c r="L26" i="7"/>
  <c r="L27" i="7"/>
  <c r="I14" i="7" l="1"/>
  <c r="K14" i="7" s="1" a="1"/>
  <c r="J14" i="7"/>
  <c r="L14" i="7" s="1"/>
  <c r="I23" i="7"/>
  <c r="K23" i="7" s="1" a="1"/>
  <c r="J23" i="7"/>
  <c r="L23" i="7" s="1"/>
  <c r="I24" i="7"/>
  <c r="K24" i="7" s="1" a="1"/>
  <c r="J24" i="7"/>
  <c r="L24" i="7" s="1"/>
  <c r="I30" i="7"/>
  <c r="K30" i="7" s="1" a="1"/>
  <c r="J30" i="7"/>
  <c r="L30" i="7" s="1"/>
  <c r="I13" i="7"/>
  <c r="K13" i="7" s="1" a="1"/>
  <c r="J13" i="7"/>
  <c r="L13" i="7" s="1"/>
  <c r="I28" i="7"/>
  <c r="K28" i="7" s="1" a="1"/>
  <c r="J28" i="7"/>
  <c r="L28" i="7" s="1"/>
  <c r="I29" i="7"/>
  <c r="K29" i="7" s="1" a="1"/>
  <c r="J29" i="7"/>
  <c r="L29" i="7" s="1"/>
  <c r="I31" i="7"/>
  <c r="K31" i="7" s="1" a="1"/>
  <c r="J31" i="7"/>
  <c r="L31" i="7" s="1"/>
  <c r="J12" i="7"/>
  <c r="L12" i="7" s="1"/>
  <c r="L33" i="7" s="1"/>
  <c r="I12" i="7"/>
  <c r="K12" i="7" s="1" a="1"/>
  <c r="D853" i="5"/>
  <c r="H853"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2E1C24D-E786-4E0E-8328-6BBDDEE8087D}" keepAlive="1" name="Query - cleaned_sales_data" description="Connection to the 'cleaned_sales_data' query in the workbook." type="5" refreshedVersion="8" background="1" saveData="1">
    <dbPr connection="Provider=Microsoft.Mashup.OleDb.1;Data Source=$Workbook$;Location=cleaned_sales_data;Extended Properties=&quot;&quot;" command="SELECT * FROM [cleaned_sales_data]"/>
  </connection>
  <connection id="2" xr16:uid="{E42BB012-8F66-4574-B624-B5D84BAEE1F3}" keepAlive="1" name="Query - Inventry_Master" description="Connection to the 'Inventry_Master' query in the workbook." type="5" refreshedVersion="8" background="1" saveData="1">
    <dbPr connection="Provider=Microsoft.Mashup.OleDb.1;Data Source=$Workbook$;Location=Inventry_Master;Extended Properties=&quot;&quot;" command="SELECT * FROM [Inventry_Master]"/>
  </connection>
  <connection id="3" xr16:uid="{F09DA79D-94E5-48A0-8CFB-77DDFF133C12}" keepAlive="1" name="Query - Table1" description="Connection to the 'Table1' query in the workbook." type="5" refreshedVersion="0" background="1">
    <dbPr connection="Provider=Microsoft.Mashup.OleDb.1;Data Source=$Workbook$;Location=Table1;Extended Properties=&quot;&quot;" command="SELECT * FROM [Table1]"/>
  </connection>
  <connection id="4" xr16:uid="{1807BDD9-55F6-44F9-BF05-7105725AF921}"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5" xr16:uid="{956109FA-FF03-4CE4-8D97-34F08A5D3769}" name="WorksheetConnection_Enterprise_Inventory_and_Sales_Data.xlsx!cleaned_sales_data" type="102" refreshedVersion="8" minRefreshableVersion="5">
    <extLst>
      <ext xmlns:x15="http://schemas.microsoft.com/office/spreadsheetml/2010/11/main" uri="{DE250136-89BD-433C-8126-D09CA5730AF9}">
        <x15:connection id="cleaned_sales_data">
          <x15:rangePr sourceName="_xlcn.WorksheetConnection_Enterprise_Inventory_and_Sales_Data.xlsxcleaned_sales_data1"/>
        </x15:connection>
      </ext>
    </extLst>
  </connection>
  <connection id="6" xr16:uid="{AEBDE18B-F51F-4DC0-AA76-8A8435DE8956}" name="WorksheetConnection_Enterprise_Inventory_and_Sales_Data.xlsx!cleaned_sales_data_" type="102" refreshedVersion="8" minRefreshableVersion="5">
    <extLst>
      <ext xmlns:x15="http://schemas.microsoft.com/office/spreadsheetml/2010/11/main" uri="{DE250136-89BD-433C-8126-D09CA5730AF9}">
        <x15:connection id="cleaned_sales_data_">
          <x15:rangePr sourceName="_xlcn.WorksheetConnection_Enterprise_Inventory_and_Sales_Data.xlsxcleaned_sales_data_1"/>
        </x15:connection>
      </ext>
    </extLst>
  </connection>
  <connection id="7" xr16:uid="{2BBB008B-E7F2-49D6-B1EE-083B4EC43897}" name="WorksheetConnection_Enterprise_Inventory_and_Sales_Data.xlsx!Inventry_Master_1" type="102" refreshedVersion="8" minRefreshableVersion="5">
    <extLst>
      <ext xmlns:x15="http://schemas.microsoft.com/office/spreadsheetml/2010/11/main" uri="{DE250136-89BD-433C-8126-D09CA5730AF9}">
        <x15:connection id="Inventry_Master_1">
          <x15:rangePr sourceName="_xlcn.WorksheetConnection_Enterprise_Inventory_and_Sales_Data.xlsxInventry_Master_1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<sst xmlns="http://schemas.openxmlformats.org/spreadsheetml/2006/main" count="8866" uniqueCount="1350">
  <si>
    <t>Product ID</t>
  </si>
  <si>
    <t>Product Name</t>
  </si>
  <si>
    <t>Category</t>
  </si>
  <si>
    <t>Unit Cost</t>
  </si>
  <si>
    <t>Selling Price</t>
  </si>
  <si>
    <t>Safety Stock Level</t>
  </si>
  <si>
    <t>Starting Stock</t>
  </si>
  <si>
    <t>PROD-001</t>
  </si>
  <si>
    <t>Apex Wireless Mouse</t>
  </si>
  <si>
    <t>Electronics</t>
  </si>
  <si>
    <t>PROD-003</t>
  </si>
  <si>
    <t>UltraWide 34in Monitor</t>
  </si>
  <si>
    <t>PROD-005</t>
  </si>
  <si>
    <t>Mechanical Keyboard</t>
  </si>
  <si>
    <t>PROD-006</t>
  </si>
  <si>
    <t>Aluminum Laptop Stand</t>
  </si>
  <si>
    <t>PROD-009</t>
  </si>
  <si>
    <t>Noise Cancelling Headphones</t>
  </si>
  <si>
    <t>PROD-011</t>
  </si>
  <si>
    <t>HD Webcam 1080p</t>
  </si>
  <si>
    <t>PROD-012</t>
  </si>
  <si>
    <t>Bluetooth Speaker</t>
  </si>
  <si>
    <t>PROD-013</t>
  </si>
  <si>
    <t>Dual-Band Wi-Fi Router</t>
  </si>
  <si>
    <t>PROD-014</t>
  </si>
  <si>
    <t>External SSD 1TB</t>
  </si>
  <si>
    <t>PROD-015</t>
  </si>
  <si>
    <t>USB-C Docking Station</t>
  </si>
  <si>
    <t>PROD-002</t>
  </si>
  <si>
    <t>Ergonomic Office Chair</t>
  </si>
  <si>
    <t>Office Supplies</t>
  </si>
  <si>
    <t>PROD-004</t>
  </si>
  <si>
    <t>Premium Leather Journal</t>
  </si>
  <si>
    <t>PROD-007</t>
  </si>
  <si>
    <t>Bamboo Desk Organizer</t>
  </si>
  <si>
    <t>PROD-016</t>
  </si>
  <si>
    <t>Gel Pen Multi-pack</t>
  </si>
  <si>
    <t>PROD-017</t>
  </si>
  <si>
    <t>Dry Erase Whiteboard</t>
  </si>
  <si>
    <t>PROD-018</t>
  </si>
  <si>
    <t>Heavy Duty Stapler</t>
  </si>
  <si>
    <t>PROD-019</t>
  </si>
  <si>
    <t>Adjustable Footrest</t>
  </si>
  <si>
    <t>PROD-020</t>
  </si>
  <si>
    <t>Desk Scissors 3-pack</t>
  </si>
  <si>
    <t>PROD-021</t>
  </si>
  <si>
    <t>File Folders Box of 100</t>
  </si>
  <si>
    <t>PROD-022</t>
  </si>
  <si>
    <t>Shredder High-Security</t>
  </si>
  <si>
    <t>PROD-008</t>
  </si>
  <si>
    <t>LED Desk Lamp w/ Charger</t>
  </si>
  <si>
    <t>Home Office</t>
  </si>
  <si>
    <t>PROD-010</t>
  </si>
  <si>
    <t>Smart Power Strip</t>
  </si>
  <si>
    <t>PROD-023</t>
  </si>
  <si>
    <t>Electric Standing Desk</t>
  </si>
  <si>
    <t>PROD-024</t>
  </si>
  <si>
    <t>Anti-Fatigue Desk Mat</t>
  </si>
  <si>
    <t>PROD-025</t>
  </si>
  <si>
    <t>Monitor Arm Mount</t>
  </si>
  <si>
    <t>PROD-026</t>
  </si>
  <si>
    <t>Under-Desk Drawer Cabinet</t>
  </si>
  <si>
    <t>PROD-027</t>
  </si>
  <si>
    <t>Lumbar Support Pillow</t>
  </si>
  <si>
    <t>PROD-028</t>
  </si>
  <si>
    <t>Cable Management Tray</t>
  </si>
  <si>
    <t>PROD-029</t>
  </si>
  <si>
    <t>Ring Light for Video Calls</t>
  </si>
  <si>
    <t>PROD-030</t>
  </si>
  <si>
    <t>Privacy Screen Filter 24in</t>
  </si>
  <si>
    <t>Transaction ID</t>
  </si>
  <si>
    <t>Date</t>
  </si>
  <si>
    <t>Quantity Sold</t>
  </si>
  <si>
    <t>Region</t>
  </si>
  <si>
    <t>Sales Channel</t>
  </si>
  <si>
    <t>TXN-1000</t>
  </si>
  <si>
    <t>2026-04-13</t>
  </si>
  <si>
    <t>Asia-Pacific</t>
  </si>
  <si>
    <t>Wholesale</t>
  </si>
  <si>
    <t>TXN-1001</t>
  </si>
  <si>
    <t>2026-09-01</t>
  </si>
  <si>
    <t>prod-002</t>
  </si>
  <si>
    <t>Latin America</t>
  </si>
  <si>
    <t>In-Store</t>
  </si>
  <si>
    <t>TXN-1002</t>
  </si>
  <si>
    <t>07/21/2026</t>
  </si>
  <si>
    <t xml:space="preserve">Europe </t>
  </si>
  <si>
    <t>TXN-1003</t>
  </si>
  <si>
    <t>02/10/2026</t>
  </si>
  <si>
    <t>TXN-1004</t>
  </si>
  <si>
    <t>2026-08-19</t>
  </si>
  <si>
    <t>North America</t>
  </si>
  <si>
    <t>Online</t>
  </si>
  <si>
    <t>TXN-1005</t>
  </si>
  <si>
    <t>2026-09-16</t>
  </si>
  <si>
    <t>TXN-1006</t>
  </si>
  <si>
    <t>2026-05-06</t>
  </si>
  <si>
    <t>TXN-1007</t>
  </si>
  <si>
    <t>2026-05-08</t>
  </si>
  <si>
    <t>TXN-1008</t>
  </si>
  <si>
    <t>2026-04-14</t>
  </si>
  <si>
    <t>TXN-1009</t>
  </si>
  <si>
    <t>2026-08-18</t>
  </si>
  <si>
    <t>TXN-1010</t>
  </si>
  <si>
    <t>2026-09-10</t>
  </si>
  <si>
    <t>prod-007</t>
  </si>
  <si>
    <t>TXN-1011</t>
  </si>
  <si>
    <t>2026-02-05</t>
  </si>
  <si>
    <t>TXN-1012</t>
  </si>
  <si>
    <t>05/24/2026</t>
  </si>
  <si>
    <t>TXN-1013</t>
  </si>
  <si>
    <t>2026-07-04</t>
  </si>
  <si>
    <t>TXN-1014</t>
  </si>
  <si>
    <t>2026-09-15</t>
  </si>
  <si>
    <t>TXN-1015</t>
  </si>
  <si>
    <t>2026-04-15</t>
  </si>
  <si>
    <t>prod-030</t>
  </si>
  <si>
    <t>TXN-1016</t>
  </si>
  <si>
    <t>2026-07-06</t>
  </si>
  <si>
    <t>prod-019</t>
  </si>
  <si>
    <t>TXN-1017</t>
  </si>
  <si>
    <t>2026-08-03</t>
  </si>
  <si>
    <t>prod-024</t>
  </si>
  <si>
    <t>TXN-1018</t>
  </si>
  <si>
    <t>2026-09-09</t>
  </si>
  <si>
    <t>TXN-1019</t>
  </si>
  <si>
    <t>08/01/2026</t>
  </si>
  <si>
    <t>TXN-1020</t>
  </si>
  <si>
    <t>2026-02-10</t>
  </si>
  <si>
    <t>TXN-1021</t>
  </si>
  <si>
    <t>2026-06-26</t>
  </si>
  <si>
    <t>TXN-1022</t>
  </si>
  <si>
    <t>2026-03-13</t>
  </si>
  <si>
    <t>TXN-1023</t>
  </si>
  <si>
    <t>2026-09-06</t>
  </si>
  <si>
    <t>TXN-1024</t>
  </si>
  <si>
    <t>2026-03-02</t>
  </si>
  <si>
    <t>TXN-1025</t>
  </si>
  <si>
    <t>09/10/2026</t>
  </si>
  <si>
    <t>TXN-1026</t>
  </si>
  <si>
    <t>TXN-1027</t>
  </si>
  <si>
    <t>2026-05-30</t>
  </si>
  <si>
    <t>TXN-1028</t>
  </si>
  <si>
    <t>2026-04-28</t>
  </si>
  <si>
    <t>TXN-1029</t>
  </si>
  <si>
    <t>2026-09-22</t>
  </si>
  <si>
    <t>TXN-1030</t>
  </si>
  <si>
    <t>2026-05-12</t>
  </si>
  <si>
    <t>TXN-1031</t>
  </si>
  <si>
    <t>2026-06-06</t>
  </si>
  <si>
    <t>TXN-1032</t>
  </si>
  <si>
    <t>2026-03-10</t>
  </si>
  <si>
    <t>TXN-1033</t>
  </si>
  <si>
    <t>08/02/2026</t>
  </si>
  <si>
    <t>TXN-1034</t>
  </si>
  <si>
    <t>2026-01-17</t>
  </si>
  <si>
    <t>TXN-1035</t>
  </si>
  <si>
    <t>2026-07-30</t>
  </si>
  <si>
    <t>TXN-1036</t>
  </si>
  <si>
    <t>06/27/2026</t>
  </si>
  <si>
    <t>TXN-1037</t>
  </si>
  <si>
    <t>TXN-1038</t>
  </si>
  <si>
    <t>2026-01-14</t>
  </si>
  <si>
    <t>TXN-1039</t>
  </si>
  <si>
    <t>2026-05-14</t>
  </si>
  <si>
    <t>prod-029</t>
  </si>
  <si>
    <t>TXN-1040</t>
  </si>
  <si>
    <t>2026-09-07</t>
  </si>
  <si>
    <t>TXN-1041</t>
  </si>
  <si>
    <t>2026-02-13</t>
  </si>
  <si>
    <t>TXN-1042</t>
  </si>
  <si>
    <t>2026-04-27</t>
  </si>
  <si>
    <t>TXN-1043</t>
  </si>
  <si>
    <t>2026-04-18</t>
  </si>
  <si>
    <t>TXN-1044</t>
  </si>
  <si>
    <t>2026-06-02</t>
  </si>
  <si>
    <t>TXN-1045</t>
  </si>
  <si>
    <t>2026-04-17</t>
  </si>
  <si>
    <t>TXN-1046</t>
  </si>
  <si>
    <t>2026-04-08</t>
  </si>
  <si>
    <t>TXN-1047</t>
  </si>
  <si>
    <t>2026-04-25</t>
  </si>
  <si>
    <t>TXN-1048</t>
  </si>
  <si>
    <t>2026-06-09</t>
  </si>
  <si>
    <t>TXN-1049</t>
  </si>
  <si>
    <t>10/05/2026</t>
  </si>
  <si>
    <t>TXN-1050</t>
  </si>
  <si>
    <t>2026-04-09</t>
  </si>
  <si>
    <t>TXN-1051</t>
  </si>
  <si>
    <t>2026-10-07</t>
  </si>
  <si>
    <t>TXN-1052</t>
  </si>
  <si>
    <t>TXN-1053</t>
  </si>
  <si>
    <t>2026-07-21</t>
  </si>
  <si>
    <t>TXN-1054</t>
  </si>
  <si>
    <t>TXN-1055</t>
  </si>
  <si>
    <t>TXN-1056</t>
  </si>
  <si>
    <t>2026-08-31</t>
  </si>
  <si>
    <t>TXN-1057</t>
  </si>
  <si>
    <t>TXN-1058</t>
  </si>
  <si>
    <t>2026-07-23</t>
  </si>
  <si>
    <t>TXN-1059</t>
  </si>
  <si>
    <t>2026-08-04</t>
  </si>
  <si>
    <t>TXN-1060</t>
  </si>
  <si>
    <t>2026-04-24</t>
  </si>
  <si>
    <t>TXN-1061</t>
  </si>
  <si>
    <t>2026-04-12</t>
  </si>
  <si>
    <t>TXN-1062</t>
  </si>
  <si>
    <t>TXN-1063</t>
  </si>
  <si>
    <t>2026-10-02</t>
  </si>
  <si>
    <t>prod-025</t>
  </si>
  <si>
    <t>TXN-1064</t>
  </si>
  <si>
    <t>2026-06-21</t>
  </si>
  <si>
    <t>TXN-1065</t>
  </si>
  <si>
    <t>2026-08-30</t>
  </si>
  <si>
    <t>TXN-1066</t>
  </si>
  <si>
    <t>TXN-1067</t>
  </si>
  <si>
    <t>2026-07-19</t>
  </si>
  <si>
    <t>TXN-1068</t>
  </si>
  <si>
    <t>2026-05-24</t>
  </si>
  <si>
    <t>TXN-1069</t>
  </si>
  <si>
    <t>2026-06-29</t>
  </si>
  <si>
    <t>TXN-1070</t>
  </si>
  <si>
    <t>07/25/2026</t>
  </si>
  <si>
    <t>TXN-1071</t>
  </si>
  <si>
    <t>TXN-1072</t>
  </si>
  <si>
    <t>2026-05-04</t>
  </si>
  <si>
    <t>TXN-1073</t>
  </si>
  <si>
    <t>2026-07-10</t>
  </si>
  <si>
    <t>TXN-1074</t>
  </si>
  <si>
    <t>2026-09-04</t>
  </si>
  <si>
    <t>TXN-1075</t>
  </si>
  <si>
    <t>TXN-1076</t>
  </si>
  <si>
    <t>2026-06-13</t>
  </si>
  <si>
    <t>TXN-1077</t>
  </si>
  <si>
    <t>2026-02-01</t>
  </si>
  <si>
    <t>TXN-1078</t>
  </si>
  <si>
    <t>2026-03-29</t>
  </si>
  <si>
    <t>TXN-1079</t>
  </si>
  <si>
    <t>2026-03-07</t>
  </si>
  <si>
    <t>TXN-1080</t>
  </si>
  <si>
    <t>TXN-1081</t>
  </si>
  <si>
    <t>2026-06-22</t>
  </si>
  <si>
    <t>TXN-1082</t>
  </si>
  <si>
    <t>2026-09-11</t>
  </si>
  <si>
    <t>TXN-1083</t>
  </si>
  <si>
    <t>01/31/2026</t>
  </si>
  <si>
    <t>TXN-1084</t>
  </si>
  <si>
    <t>TXN-1085</t>
  </si>
  <si>
    <t>2026-06-01</t>
  </si>
  <si>
    <t>TXN-1086</t>
  </si>
  <si>
    <t>05/18/2026</t>
  </si>
  <si>
    <t>TXN-1087</t>
  </si>
  <si>
    <t>2026-06-27</t>
  </si>
  <si>
    <t>prod-028</t>
  </si>
  <si>
    <t>TXN-1088</t>
  </si>
  <si>
    <t>01/08/2026</t>
  </si>
  <si>
    <t>TXN-1089</t>
  </si>
  <si>
    <t>2026-06-03</t>
  </si>
  <si>
    <t>TXN-1090</t>
  </si>
  <si>
    <t>2026-03-16</t>
  </si>
  <si>
    <t>TXN-1091</t>
  </si>
  <si>
    <t>TXN-1092</t>
  </si>
  <si>
    <t>09/27/2026</t>
  </si>
  <si>
    <t>TXN-1093</t>
  </si>
  <si>
    <t>2026-05-22</t>
  </si>
  <si>
    <t>TXN-1094</t>
  </si>
  <si>
    <t>08/04/2026</t>
  </si>
  <si>
    <t>TXN-1095</t>
  </si>
  <si>
    <t>TXN-1096</t>
  </si>
  <si>
    <t>2026-04-16</t>
  </si>
  <si>
    <t>TXN-1097</t>
  </si>
  <si>
    <t>TXN-1098</t>
  </si>
  <si>
    <t>2026-09-23</t>
  </si>
  <si>
    <t>TXN-1099</t>
  </si>
  <si>
    <t>2026-10-04</t>
  </si>
  <si>
    <t>TXN-1100</t>
  </si>
  <si>
    <t>2026-02-16</t>
  </si>
  <si>
    <t>TXN-1101</t>
  </si>
  <si>
    <t>2026-08-22</t>
  </si>
  <si>
    <t>TXN-1102</t>
  </si>
  <si>
    <t>2026-02-11</t>
  </si>
  <si>
    <t>TXN-1103</t>
  </si>
  <si>
    <t>2026-05-25</t>
  </si>
  <si>
    <t>TXN-1104</t>
  </si>
  <si>
    <t>prod-003</t>
  </si>
  <si>
    <t>TXN-1105</t>
  </si>
  <si>
    <t>2026-07-27</t>
  </si>
  <si>
    <t>TXN-1106</t>
  </si>
  <si>
    <t>2026-07-07</t>
  </si>
  <si>
    <t>TXN-1107</t>
  </si>
  <si>
    <t>08/03/2026</t>
  </si>
  <si>
    <t>TXN-1108</t>
  </si>
  <si>
    <t>2026-09-21</t>
  </si>
  <si>
    <t>TXN-1109</t>
  </si>
  <si>
    <t>04/10/2026</t>
  </si>
  <si>
    <t>TXN-1110</t>
  </si>
  <si>
    <t>01/28/2026</t>
  </si>
  <si>
    <t>TXN-1111</t>
  </si>
  <si>
    <t>2026-10-01</t>
  </si>
  <si>
    <t>TXN-1112</t>
  </si>
  <si>
    <t>01/17/2026</t>
  </si>
  <si>
    <t>TXN-1113</t>
  </si>
  <si>
    <t>05/15/2026</t>
  </si>
  <si>
    <t>TXN-1114</t>
  </si>
  <si>
    <t>2026-02-28</t>
  </si>
  <si>
    <t>TXN-1115</t>
  </si>
  <si>
    <t>2026-01-05</t>
  </si>
  <si>
    <t>prod-004</t>
  </si>
  <si>
    <t>TXN-1116</t>
  </si>
  <si>
    <t>2026-06-05</t>
  </si>
  <si>
    <t>TXN-1117</t>
  </si>
  <si>
    <t>2026-02-08</t>
  </si>
  <si>
    <t>TXN-1118</t>
  </si>
  <si>
    <t>06/04/2026</t>
  </si>
  <si>
    <t>TXN-1119</t>
  </si>
  <si>
    <t>TXN-1120</t>
  </si>
  <si>
    <t>TXN-1121</t>
  </si>
  <si>
    <t>TXN-1122</t>
  </si>
  <si>
    <t>TXN-1123</t>
  </si>
  <si>
    <t>TXN-1124</t>
  </si>
  <si>
    <t>2026-02-12</t>
  </si>
  <si>
    <t>TXN-1125</t>
  </si>
  <si>
    <t>2026-07-25</t>
  </si>
  <si>
    <t>TXN-1126</t>
  </si>
  <si>
    <t>TXN-1127</t>
  </si>
  <si>
    <t>TXN-1128</t>
  </si>
  <si>
    <t>2026-03-06</t>
  </si>
  <si>
    <t>TXN-1129</t>
  </si>
  <si>
    <t>2026-02-23</t>
  </si>
  <si>
    <t>TXN-1130</t>
  </si>
  <si>
    <t>2026-01-16</t>
  </si>
  <si>
    <t>TXN-1131</t>
  </si>
  <si>
    <t>TXN-1132</t>
  </si>
  <si>
    <t>2026-05-13</t>
  </si>
  <si>
    <t>TXN-1133</t>
  </si>
  <si>
    <t>TXN-1134</t>
  </si>
  <si>
    <t>TXN-1135</t>
  </si>
  <si>
    <t>TXN-1136</t>
  </si>
  <si>
    <t>2026-03-12</t>
  </si>
  <si>
    <t>TXN-1137</t>
  </si>
  <si>
    <t>TXN-1138</t>
  </si>
  <si>
    <t>01/20/2026</t>
  </si>
  <si>
    <t>TXN-1139</t>
  </si>
  <si>
    <t>TXN-1140</t>
  </si>
  <si>
    <t>2026-03-22</t>
  </si>
  <si>
    <t>TXN-1141</t>
  </si>
  <si>
    <t>TXN-1142</t>
  </si>
  <si>
    <t>2026-04-01</t>
  </si>
  <si>
    <t>TXN-1143</t>
  </si>
  <si>
    <t>2026-01-25</t>
  </si>
  <si>
    <t>TXN-1144</t>
  </si>
  <si>
    <t>TXN-1145</t>
  </si>
  <si>
    <t>2026-05-11</t>
  </si>
  <si>
    <t>TXN-1146</t>
  </si>
  <si>
    <t>03/29/2026</t>
  </si>
  <si>
    <t>prod-018</t>
  </si>
  <si>
    <t>TXN-1147</t>
  </si>
  <si>
    <t>03/25/2026</t>
  </si>
  <si>
    <t>TXN-1148</t>
  </si>
  <si>
    <t>TXN-1149</t>
  </si>
  <si>
    <t>TXN-1150</t>
  </si>
  <si>
    <t>08/10/2026</t>
  </si>
  <si>
    <t>TXN-1151</t>
  </si>
  <si>
    <t>TXN-1152</t>
  </si>
  <si>
    <t>2026-08-09</t>
  </si>
  <si>
    <t>TXN-1153</t>
  </si>
  <si>
    <t>03/13/2026</t>
  </si>
  <si>
    <t>TXN-1154</t>
  </si>
  <si>
    <t>2026-09-30</t>
  </si>
  <si>
    <t>TXN-1155</t>
  </si>
  <si>
    <t>2026-05-17</t>
  </si>
  <si>
    <t>TXN-1156</t>
  </si>
  <si>
    <t>2026-06-25</t>
  </si>
  <si>
    <t>TXN-1157</t>
  </si>
  <si>
    <t>2026-08-02</t>
  </si>
  <si>
    <t>TXN-1158</t>
  </si>
  <si>
    <t>08/08/2026</t>
  </si>
  <si>
    <t>TXN-1159</t>
  </si>
  <si>
    <t>TXN-1160</t>
  </si>
  <si>
    <t>2026-01-13</t>
  </si>
  <si>
    <t>TXN-1161</t>
  </si>
  <si>
    <t>TXN-1162</t>
  </si>
  <si>
    <t>06/20/2026</t>
  </si>
  <si>
    <t>TXN-1163</t>
  </si>
  <si>
    <t>2026-01-22</t>
  </si>
  <si>
    <t>TXN-1164</t>
  </si>
  <si>
    <t>2026-05-07</t>
  </si>
  <si>
    <t>TXN-1165</t>
  </si>
  <si>
    <t>2026-09-03</t>
  </si>
  <si>
    <t>TXN-1166</t>
  </si>
  <si>
    <t>TXN-1167</t>
  </si>
  <si>
    <t>2026-02-07</t>
  </si>
  <si>
    <t>TXN-1168</t>
  </si>
  <si>
    <t>TXN-1169</t>
  </si>
  <si>
    <t>2026-07-14</t>
  </si>
  <si>
    <t>TXN-1170</t>
  </si>
  <si>
    <t>03/30/2026</t>
  </si>
  <si>
    <t>prod-021</t>
  </si>
  <si>
    <t>TXN-1171</t>
  </si>
  <si>
    <t>02/05/2026</t>
  </si>
  <si>
    <t>TXN-1172</t>
  </si>
  <si>
    <t>2026-01-15</t>
  </si>
  <si>
    <t>TXN-1173</t>
  </si>
  <si>
    <t>TXN-1174</t>
  </si>
  <si>
    <t>2026-10-03</t>
  </si>
  <si>
    <t>TXN-1175</t>
  </si>
  <si>
    <t>2026-01-11</t>
  </si>
  <si>
    <t>TXN-1176</t>
  </si>
  <si>
    <t>2026-04-26</t>
  </si>
  <si>
    <t>TXN-1177</t>
  </si>
  <si>
    <t>2026-03-28</t>
  </si>
  <si>
    <t>TXN-1178</t>
  </si>
  <si>
    <t>TXN-1179</t>
  </si>
  <si>
    <t>TXN-1180</t>
  </si>
  <si>
    <t>2026-04-05</t>
  </si>
  <si>
    <t>TXN-1181</t>
  </si>
  <si>
    <t>2026-05-03</t>
  </si>
  <si>
    <t>TXN-1182</t>
  </si>
  <si>
    <t>TXN-1183</t>
  </si>
  <si>
    <t>2026-04-02</t>
  </si>
  <si>
    <t>TXN-1184</t>
  </si>
  <si>
    <t>TXN-1185</t>
  </si>
  <si>
    <t>2026-02-06</t>
  </si>
  <si>
    <t>TXN-1186</t>
  </si>
  <si>
    <t>06/07/2026</t>
  </si>
  <si>
    <t>TXN-1187</t>
  </si>
  <si>
    <t>TXN-1188</t>
  </si>
  <si>
    <t>TXN-1189</t>
  </si>
  <si>
    <t>TXN-1190</t>
  </si>
  <si>
    <t>09/13/2026</t>
  </si>
  <si>
    <t>TXN-1191</t>
  </si>
  <si>
    <t>2026-07-28</t>
  </si>
  <si>
    <t>TXN-1192</t>
  </si>
  <si>
    <t>TXN-1193</t>
  </si>
  <si>
    <t>TXN-1194</t>
  </si>
  <si>
    <t>TXN-1195</t>
  </si>
  <si>
    <t>2026-08-29</t>
  </si>
  <si>
    <t>TXN-1196</t>
  </si>
  <si>
    <t>TXN-1197</t>
  </si>
  <si>
    <t>2026-04-07</t>
  </si>
  <si>
    <t>TXN-1198</t>
  </si>
  <si>
    <t>07/15/2026</t>
  </si>
  <si>
    <t>TXN-1199</t>
  </si>
  <si>
    <t>TXN-1200</t>
  </si>
  <si>
    <t>2026-06-28</t>
  </si>
  <si>
    <t>TXN-1201</t>
  </si>
  <si>
    <t>2026-08-27</t>
  </si>
  <si>
    <t>TXN-1202</t>
  </si>
  <si>
    <t>2026-06-18</t>
  </si>
  <si>
    <t>TXN-1203</t>
  </si>
  <si>
    <t>TXN-1204</t>
  </si>
  <si>
    <t>TXN-1205</t>
  </si>
  <si>
    <t>2026-01-19</t>
  </si>
  <si>
    <t>TXN-1206</t>
  </si>
  <si>
    <t>2026-05-09</t>
  </si>
  <si>
    <t>TXN-1207</t>
  </si>
  <si>
    <t>05/20/2026</t>
  </si>
  <si>
    <t>TXN-1208</t>
  </si>
  <si>
    <t>2026-07-11</t>
  </si>
  <si>
    <t>TXN-1209</t>
  </si>
  <si>
    <t>2026-09-24</t>
  </si>
  <si>
    <t>TXN-1210</t>
  </si>
  <si>
    <t>2026-05-10</t>
  </si>
  <si>
    <t>prod-001</t>
  </si>
  <si>
    <t>TXN-1211</t>
  </si>
  <si>
    <t>09/03/2026</t>
  </si>
  <si>
    <t>TXN-1212</t>
  </si>
  <si>
    <t>02/01/2026</t>
  </si>
  <si>
    <t>TXN-1213</t>
  </si>
  <si>
    <t>2026-07-05</t>
  </si>
  <si>
    <t>TXN-1214</t>
  </si>
  <si>
    <t>2026-09-12</t>
  </si>
  <si>
    <t>prod-022</t>
  </si>
  <si>
    <t>TXN-1215</t>
  </si>
  <si>
    <t>TXN-1216</t>
  </si>
  <si>
    <t>TXN-1217</t>
  </si>
  <si>
    <t>TXN-1218</t>
  </si>
  <si>
    <t>2026-03-31</t>
  </si>
  <si>
    <t>TXN-1219</t>
  </si>
  <si>
    <t>04/24/2026</t>
  </si>
  <si>
    <t>TXN-1220</t>
  </si>
  <si>
    <t>2026-07-13</t>
  </si>
  <si>
    <t>TXN-1221</t>
  </si>
  <si>
    <t>2026-05-21</t>
  </si>
  <si>
    <t>TXN-1222</t>
  </si>
  <si>
    <t>2026-02-24</t>
  </si>
  <si>
    <t>TXN-1223</t>
  </si>
  <si>
    <t>TXN-1224</t>
  </si>
  <si>
    <t>TXN-1225</t>
  </si>
  <si>
    <t>07/19/2026</t>
  </si>
  <si>
    <t>TXN-1226</t>
  </si>
  <si>
    <t>TXN-1227</t>
  </si>
  <si>
    <t>2026-01-04</t>
  </si>
  <si>
    <t>TXN-1228</t>
  </si>
  <si>
    <t>TXN-1229</t>
  </si>
  <si>
    <t>TXN-1230</t>
  </si>
  <si>
    <t>2026-10-05</t>
  </si>
  <si>
    <t>TXN-1231</t>
  </si>
  <si>
    <t>TXN-1232</t>
  </si>
  <si>
    <t>2026-04-21</t>
  </si>
  <si>
    <t>prod-027</t>
  </si>
  <si>
    <t>TXN-1233</t>
  </si>
  <si>
    <t>2026-08-06</t>
  </si>
  <si>
    <t>TXN-1234</t>
  </si>
  <si>
    <t>TXN-1235</t>
  </si>
  <si>
    <t>2026-03-14</t>
  </si>
  <si>
    <t>TXN-1236</t>
  </si>
  <si>
    <t>2026-02-22</t>
  </si>
  <si>
    <t>TXN-1237</t>
  </si>
  <si>
    <t>TXN-1238</t>
  </si>
  <si>
    <t>TXN-1239</t>
  </si>
  <si>
    <t>TXN-1240</t>
  </si>
  <si>
    <t>2026-09-27</t>
  </si>
  <si>
    <t>TXN-1241</t>
  </si>
  <si>
    <t>TXN-1242</t>
  </si>
  <si>
    <t>2026-03-03</t>
  </si>
  <si>
    <t>TXN-1243</t>
  </si>
  <si>
    <t>2026-01-03</t>
  </si>
  <si>
    <t>TXN-1244</t>
  </si>
  <si>
    <t>04/25/2026</t>
  </si>
  <si>
    <t>TXN-1245</t>
  </si>
  <si>
    <t>TXN-1246</t>
  </si>
  <si>
    <t>TXN-1247</t>
  </si>
  <si>
    <t>TXN-1248</t>
  </si>
  <si>
    <t>07/27/2026</t>
  </si>
  <si>
    <t>TXN-1249</t>
  </si>
  <si>
    <t>2026-03-17</t>
  </si>
  <si>
    <t>TXN-1250</t>
  </si>
  <si>
    <t>2026-01-20</t>
  </si>
  <si>
    <t>TXN-1251</t>
  </si>
  <si>
    <t>TXN-1252</t>
  </si>
  <si>
    <t>TXN-1253</t>
  </si>
  <si>
    <t>TXN-1254</t>
  </si>
  <si>
    <t>TXN-1255</t>
  </si>
  <si>
    <t>07/10/2026</t>
  </si>
  <si>
    <t>TXN-1256</t>
  </si>
  <si>
    <t>2026-06-15</t>
  </si>
  <si>
    <t>TXN-1257</t>
  </si>
  <si>
    <t>2026-05-31</t>
  </si>
  <si>
    <t>TXN-1258</t>
  </si>
  <si>
    <t>2026-06-07</t>
  </si>
  <si>
    <t>TXN-1259</t>
  </si>
  <si>
    <t>2026-07-29</t>
  </si>
  <si>
    <t>TXN-1260</t>
  </si>
  <si>
    <t>2026-04-22</t>
  </si>
  <si>
    <t>TXN-1261</t>
  </si>
  <si>
    <t>TXN-1262</t>
  </si>
  <si>
    <t>TXN-1263</t>
  </si>
  <si>
    <t>TXN-1264</t>
  </si>
  <si>
    <t>2026-05-01</t>
  </si>
  <si>
    <t>TXN-1265</t>
  </si>
  <si>
    <t>2026-08-23</t>
  </si>
  <si>
    <t>TXN-1266</t>
  </si>
  <si>
    <t>2026-08-11</t>
  </si>
  <si>
    <t>TXN-1267</t>
  </si>
  <si>
    <t>2026-02-21</t>
  </si>
  <si>
    <t>TXN-1268</t>
  </si>
  <si>
    <t>TXN-1269</t>
  </si>
  <si>
    <t>TXN-1270</t>
  </si>
  <si>
    <t>TXN-1271</t>
  </si>
  <si>
    <t>TXN-1272</t>
  </si>
  <si>
    <t>TXN-1273</t>
  </si>
  <si>
    <t>2026-04-23</t>
  </si>
  <si>
    <t>TXN-1274</t>
  </si>
  <si>
    <t>2026-03-27</t>
  </si>
  <si>
    <t>TXN-1275</t>
  </si>
  <si>
    <t>TXN-1276</t>
  </si>
  <si>
    <t>TXN-1277</t>
  </si>
  <si>
    <t>2026-05-19</t>
  </si>
  <si>
    <t>TXN-1278</t>
  </si>
  <si>
    <t>2026-03-25</t>
  </si>
  <si>
    <t>TXN-1279</t>
  </si>
  <si>
    <t>2026-01-29</t>
  </si>
  <si>
    <t>TXN-1280</t>
  </si>
  <si>
    <t>2026-06-17</t>
  </si>
  <si>
    <t>TXN-1281</t>
  </si>
  <si>
    <t>TXN-1282</t>
  </si>
  <si>
    <t>TXN-1283</t>
  </si>
  <si>
    <t>2026-04-11</t>
  </si>
  <si>
    <t>TXN-1284</t>
  </si>
  <si>
    <t>TXN-1285</t>
  </si>
  <si>
    <t>TXN-1286</t>
  </si>
  <si>
    <t>TXN-1287</t>
  </si>
  <si>
    <t>TXN-1288</t>
  </si>
  <si>
    <t>TXN-1289</t>
  </si>
  <si>
    <t>2026-04-20</t>
  </si>
  <si>
    <t>TXN-1290</t>
  </si>
  <si>
    <t>2026-07-24</t>
  </si>
  <si>
    <t>prod-020</t>
  </si>
  <si>
    <t>TXN-1291</t>
  </si>
  <si>
    <t>TXN-1292</t>
  </si>
  <si>
    <t>TXN-1293</t>
  </si>
  <si>
    <t>TXN-1294</t>
  </si>
  <si>
    <t>2026-04-04</t>
  </si>
  <si>
    <t>TXN-1295</t>
  </si>
  <si>
    <t>2026-07-26</t>
  </si>
  <si>
    <t>TXN-1296</t>
  </si>
  <si>
    <t>TXN-1297</t>
  </si>
  <si>
    <t>TXN-1298</t>
  </si>
  <si>
    <t>TXN-1299</t>
  </si>
  <si>
    <t>TXN-1300</t>
  </si>
  <si>
    <t>09/30/2026</t>
  </si>
  <si>
    <t>TXN-1301</t>
  </si>
  <si>
    <t>TXN-1302</t>
  </si>
  <si>
    <t>TXN-1303</t>
  </si>
  <si>
    <t>2026-03-15</t>
  </si>
  <si>
    <t>TXN-1304</t>
  </si>
  <si>
    <t>2026-03-01</t>
  </si>
  <si>
    <t>TXN-1305</t>
  </si>
  <si>
    <t>TXN-1306</t>
  </si>
  <si>
    <t>2026-09-28</t>
  </si>
  <si>
    <t>TXN-1307</t>
  </si>
  <si>
    <t>TXN-1308</t>
  </si>
  <si>
    <t>TXN-1309</t>
  </si>
  <si>
    <t>TXN-1310</t>
  </si>
  <si>
    <t>TXN-1311</t>
  </si>
  <si>
    <t>2026-05-02</t>
  </si>
  <si>
    <t>TXN-1312</t>
  </si>
  <si>
    <t>07/24/2026</t>
  </si>
  <si>
    <t>TXN-1313</t>
  </si>
  <si>
    <t>TXN-1314</t>
  </si>
  <si>
    <t>2026-08-14</t>
  </si>
  <si>
    <t>TXN-1315</t>
  </si>
  <si>
    <t>03/28/2026</t>
  </si>
  <si>
    <t>TXN-1316</t>
  </si>
  <si>
    <t>2026-01-10</t>
  </si>
  <si>
    <t>TXN-1317</t>
  </si>
  <si>
    <t>2026-05-16</t>
  </si>
  <si>
    <t>TXN-1318</t>
  </si>
  <si>
    <t>09/26/2026</t>
  </si>
  <si>
    <t>TXN-1319</t>
  </si>
  <si>
    <t>2026-09-29</t>
  </si>
  <si>
    <t>TXN-1320</t>
  </si>
  <si>
    <t>09/23/2026</t>
  </si>
  <si>
    <t>TXN-1321</t>
  </si>
  <si>
    <t>TXN-1322</t>
  </si>
  <si>
    <t>TXN-1323</t>
  </si>
  <si>
    <t>TXN-1324</t>
  </si>
  <si>
    <t>07/07/2026</t>
  </si>
  <si>
    <t>TXN-1325</t>
  </si>
  <si>
    <t>TXN-1326</t>
  </si>
  <si>
    <t>2026-08-13</t>
  </si>
  <si>
    <t>TXN-1327</t>
  </si>
  <si>
    <t>TXN-1328</t>
  </si>
  <si>
    <t>TXN-1329</t>
  </si>
  <si>
    <t>TXN-1330</t>
  </si>
  <si>
    <t>TXN-1331</t>
  </si>
  <si>
    <t>2026-09-02</t>
  </si>
  <si>
    <t>TXN-1332</t>
  </si>
  <si>
    <t>TXN-1333</t>
  </si>
  <si>
    <t>2026-03-18</t>
  </si>
  <si>
    <t>TXN-1334</t>
  </si>
  <si>
    <t>2026-10-06</t>
  </si>
  <si>
    <t>TXN-1335</t>
  </si>
  <si>
    <t>TXN-1336</t>
  </si>
  <si>
    <t>2026-01-12</t>
  </si>
  <si>
    <t>TXN-1337</t>
  </si>
  <si>
    <t>TXN-1338</t>
  </si>
  <si>
    <t>2026-05-05</t>
  </si>
  <si>
    <t>TXN-1339</t>
  </si>
  <si>
    <t>2026-03-26</t>
  </si>
  <si>
    <t>TXN-1340</t>
  </si>
  <si>
    <t>TXN-1341</t>
  </si>
  <si>
    <t>2026-03-09</t>
  </si>
  <si>
    <t>TXN-1342</t>
  </si>
  <si>
    <t>TXN-1343</t>
  </si>
  <si>
    <t>2026-09-25</t>
  </si>
  <si>
    <t>TXN-1344</t>
  </si>
  <si>
    <t>2026-07-16</t>
  </si>
  <si>
    <t>TXN-1345</t>
  </si>
  <si>
    <t>TXN-1346</t>
  </si>
  <si>
    <t>TXN-1347</t>
  </si>
  <si>
    <t>TXN-1348</t>
  </si>
  <si>
    <t>TXN-1349</t>
  </si>
  <si>
    <t>06/15/2026</t>
  </si>
  <si>
    <t>TXN-1350</t>
  </si>
  <si>
    <t>06/28/2026</t>
  </si>
  <si>
    <t>TXN-1351</t>
  </si>
  <si>
    <t>2026-02-04</t>
  </si>
  <si>
    <t>TXN-1352</t>
  </si>
  <si>
    <t>2026-02-14</t>
  </si>
  <si>
    <t>TXN-1353</t>
  </si>
  <si>
    <t>2026-02-09</t>
  </si>
  <si>
    <t>prod-005</t>
  </si>
  <si>
    <t>TXN-1354</t>
  </si>
  <si>
    <t>TXN-1355</t>
  </si>
  <si>
    <t>2026-02-20</t>
  </si>
  <si>
    <t>TXN-1356</t>
  </si>
  <si>
    <t>TXN-1357</t>
  </si>
  <si>
    <t>TXN-1358</t>
  </si>
  <si>
    <t>TXN-1359</t>
  </si>
  <si>
    <t>TXN-1360</t>
  </si>
  <si>
    <t>TXN-1361</t>
  </si>
  <si>
    <t>2026-05-20</t>
  </si>
  <si>
    <t>TXN-1362</t>
  </si>
  <si>
    <t>2026-01-28</t>
  </si>
  <si>
    <t>TXN-1363</t>
  </si>
  <si>
    <t>03/31/2026</t>
  </si>
  <si>
    <t>TXN-1364</t>
  </si>
  <si>
    <t>08/13/2026</t>
  </si>
  <si>
    <t>TXN-1365</t>
  </si>
  <si>
    <t>03/08/2026</t>
  </si>
  <si>
    <t>TXN-1366</t>
  </si>
  <si>
    <t>TXN-1367</t>
  </si>
  <si>
    <t>TXN-1368</t>
  </si>
  <si>
    <t>TXN-1369</t>
  </si>
  <si>
    <t>prod-026</t>
  </si>
  <si>
    <t>TXN-1370</t>
  </si>
  <si>
    <t>TXN-1371</t>
  </si>
  <si>
    <t>TXN-1372</t>
  </si>
  <si>
    <t>TXN-1373</t>
  </si>
  <si>
    <t>TXN-1374</t>
  </si>
  <si>
    <t>TXN-1375</t>
  </si>
  <si>
    <t>04/19/2026</t>
  </si>
  <si>
    <t>TXN-1376</t>
  </si>
  <si>
    <t>2026-01-06</t>
  </si>
  <si>
    <t>TXN-1377</t>
  </si>
  <si>
    <t>01/10/2026</t>
  </si>
  <si>
    <t>TXN-1378</t>
  </si>
  <si>
    <t>TXN-1379</t>
  </si>
  <si>
    <t>2026-01-21</t>
  </si>
  <si>
    <t>TXN-1380</t>
  </si>
  <si>
    <t>TXN-1381</t>
  </si>
  <si>
    <t>2026-06-20</t>
  </si>
  <si>
    <t>prod-008</t>
  </si>
  <si>
    <t>TXN-1382</t>
  </si>
  <si>
    <t>TXN-1383</t>
  </si>
  <si>
    <t>TXN-1384</t>
  </si>
  <si>
    <t>TXN-1385</t>
  </si>
  <si>
    <t>TXN-1386</t>
  </si>
  <si>
    <t>TXN-1387</t>
  </si>
  <si>
    <t>TXN-1388</t>
  </si>
  <si>
    <t>TXN-1389</t>
  </si>
  <si>
    <t>TXN-1390</t>
  </si>
  <si>
    <t>TXN-1391</t>
  </si>
  <si>
    <t>2026-02-18</t>
  </si>
  <si>
    <t>TXN-1392</t>
  </si>
  <si>
    <t>prod-014</t>
  </si>
  <si>
    <t>TXN-1393</t>
  </si>
  <si>
    <t>2026-08-01</t>
  </si>
  <si>
    <t>TXN-1394</t>
  </si>
  <si>
    <t>04/30/2026</t>
  </si>
  <si>
    <t>TXN-1395</t>
  </si>
  <si>
    <t>TXN-1396</t>
  </si>
  <si>
    <t>TXN-1397</t>
  </si>
  <si>
    <t>TXN-1398</t>
  </si>
  <si>
    <t>TXN-1399</t>
  </si>
  <si>
    <t>TXN-1400</t>
  </si>
  <si>
    <t>2026-05-29</t>
  </si>
  <si>
    <t>TXN-1401</t>
  </si>
  <si>
    <t>05/01/2026</t>
  </si>
  <si>
    <t>TXN-1402</t>
  </si>
  <si>
    <t>TXN-1403</t>
  </si>
  <si>
    <t>2026-08-21</t>
  </si>
  <si>
    <t>TXN-1404</t>
  </si>
  <si>
    <t>2026-06-24</t>
  </si>
  <si>
    <t>prod-015</t>
  </si>
  <si>
    <t>TXN-1405</t>
  </si>
  <si>
    <t>TXN-1406</t>
  </si>
  <si>
    <t>TXN-1407</t>
  </si>
  <si>
    <t>2026-09-14</t>
  </si>
  <si>
    <t>TXN-1408</t>
  </si>
  <si>
    <t>TXN-1409</t>
  </si>
  <si>
    <t>2026-07-20</t>
  </si>
  <si>
    <t>TXN-1410</t>
  </si>
  <si>
    <t>TXN-1411</t>
  </si>
  <si>
    <t>TXN-1412</t>
  </si>
  <si>
    <t>TXN-1413</t>
  </si>
  <si>
    <t>TXN-1414</t>
  </si>
  <si>
    <t>TXN-1415</t>
  </si>
  <si>
    <t>TXN-1416</t>
  </si>
  <si>
    <t>TXN-1417</t>
  </si>
  <si>
    <t>02/06/2026</t>
  </si>
  <si>
    <t>TXN-1418</t>
  </si>
  <si>
    <t>2026-09-08</t>
  </si>
  <si>
    <t>TXN-1419</t>
  </si>
  <si>
    <t>TXN-1420</t>
  </si>
  <si>
    <t>TXN-1421</t>
  </si>
  <si>
    <t>TXN-1422</t>
  </si>
  <si>
    <t>TXN-1423</t>
  </si>
  <si>
    <t>TXN-1424</t>
  </si>
  <si>
    <t>2026-09-13</t>
  </si>
  <si>
    <t>TXN-1425</t>
  </si>
  <si>
    <t>2026-08-16</t>
  </si>
  <si>
    <t>TXN-1426</t>
  </si>
  <si>
    <t>TXN-1427</t>
  </si>
  <si>
    <t>TXN-1428</t>
  </si>
  <si>
    <t>02/14/2026</t>
  </si>
  <si>
    <t>TXN-1429</t>
  </si>
  <si>
    <t>TXN-1430</t>
  </si>
  <si>
    <t>TXN-1431</t>
  </si>
  <si>
    <t>TXN-1432</t>
  </si>
  <si>
    <t>TXN-1433</t>
  </si>
  <si>
    <t>TXN-1434</t>
  </si>
  <si>
    <t>2026-01-23</t>
  </si>
  <si>
    <t>TXN-1435</t>
  </si>
  <si>
    <t>TXN-1436</t>
  </si>
  <si>
    <t>TXN-1437</t>
  </si>
  <si>
    <t>TXN-1438</t>
  </si>
  <si>
    <t>TXN-1439</t>
  </si>
  <si>
    <t>2026-07-15</t>
  </si>
  <si>
    <t>TXN-1440</t>
  </si>
  <si>
    <t>TXN-1441</t>
  </si>
  <si>
    <t>02/12/2026</t>
  </si>
  <si>
    <t>TXN-1442</t>
  </si>
  <si>
    <t>TXN-1443</t>
  </si>
  <si>
    <t>TXN-1444</t>
  </si>
  <si>
    <t>TXN-1445</t>
  </si>
  <si>
    <t>TXN-1446</t>
  </si>
  <si>
    <t>09/15/2026</t>
  </si>
  <si>
    <t>TXN-1447</t>
  </si>
  <si>
    <t>TXN-1448</t>
  </si>
  <si>
    <t>TXN-1449</t>
  </si>
  <si>
    <t>TXN-1450</t>
  </si>
  <si>
    <t>TXN-1451</t>
  </si>
  <si>
    <t>2026-07-22</t>
  </si>
  <si>
    <t>TXN-1452</t>
  </si>
  <si>
    <t>09/20/2026</t>
  </si>
  <si>
    <t>TXN-1453</t>
  </si>
  <si>
    <t>2026-06-11</t>
  </si>
  <si>
    <t>TXN-1454</t>
  </si>
  <si>
    <t>2026-05-28</t>
  </si>
  <si>
    <t>TXN-1455</t>
  </si>
  <si>
    <t>TXN-1456</t>
  </si>
  <si>
    <t>2026-01-08</t>
  </si>
  <si>
    <t>TXN-1457</t>
  </si>
  <si>
    <t>TXN-1458</t>
  </si>
  <si>
    <t>2026-06-04</t>
  </si>
  <si>
    <t>TXN-1459</t>
  </si>
  <si>
    <t>TXN-1460</t>
  </si>
  <si>
    <t>2026-04-19</t>
  </si>
  <si>
    <t>prod-006</t>
  </si>
  <si>
    <t>TXN-1461</t>
  </si>
  <si>
    <t>TXN-1462</t>
  </si>
  <si>
    <t>TXN-1463</t>
  </si>
  <si>
    <t>TXN-1464</t>
  </si>
  <si>
    <t>TXN-1465</t>
  </si>
  <si>
    <t>TXN-1466</t>
  </si>
  <si>
    <t>TXN-1467</t>
  </si>
  <si>
    <t>2026-01-31</t>
  </si>
  <si>
    <t>TXN-1468</t>
  </si>
  <si>
    <t>TXN-1469</t>
  </si>
  <si>
    <t>TXN-1470</t>
  </si>
  <si>
    <t>10/03/2026</t>
  </si>
  <si>
    <t>TXN-1471</t>
  </si>
  <si>
    <t>TXN-1472</t>
  </si>
  <si>
    <t>2026-03-19</t>
  </si>
  <si>
    <t>TXN-1473</t>
  </si>
  <si>
    <t>TXN-1474</t>
  </si>
  <si>
    <t>2026-06-12</t>
  </si>
  <si>
    <t>TXN-1475</t>
  </si>
  <si>
    <t>TXN-1476</t>
  </si>
  <si>
    <t>2026-09-19</t>
  </si>
  <si>
    <t>TXN-1477</t>
  </si>
  <si>
    <t>TXN-1478</t>
  </si>
  <si>
    <t>TXN-1479</t>
  </si>
  <si>
    <t>TXN-1480</t>
  </si>
  <si>
    <t>TXN-1481</t>
  </si>
  <si>
    <t>TXN-1482</t>
  </si>
  <si>
    <t>09/28/2026</t>
  </si>
  <si>
    <t>TXN-1483</t>
  </si>
  <si>
    <t>TXN-1484</t>
  </si>
  <si>
    <t>2026-02-15</t>
  </si>
  <si>
    <t>TXN-1485</t>
  </si>
  <si>
    <t>2026-08-26</t>
  </si>
  <si>
    <t>TXN-1486</t>
  </si>
  <si>
    <t>prod-023</t>
  </si>
  <si>
    <t>TXN-1487</t>
  </si>
  <si>
    <t>04/23/2026</t>
  </si>
  <si>
    <t>TXN-1488</t>
  </si>
  <si>
    <t>TXN-1489</t>
  </si>
  <si>
    <t>prod-009</t>
  </si>
  <si>
    <t>TXN-1490</t>
  </si>
  <si>
    <t>2026-02-03</t>
  </si>
  <si>
    <t>TXN-1491</t>
  </si>
  <si>
    <t>TXN-1492</t>
  </si>
  <si>
    <t>2026-09-26</t>
  </si>
  <si>
    <t>TXN-1493</t>
  </si>
  <si>
    <t>TXN-1494</t>
  </si>
  <si>
    <t>10/06/2026</t>
  </si>
  <si>
    <t>TXN-1495</t>
  </si>
  <si>
    <t>TXN-1496</t>
  </si>
  <si>
    <t>TXN-1497</t>
  </si>
  <si>
    <t>TXN-1498</t>
  </si>
  <si>
    <t>TXN-1499</t>
  </si>
  <si>
    <t>2026-01-07</t>
  </si>
  <si>
    <t>TXN-1500</t>
  </si>
  <si>
    <t>TXN-1501</t>
  </si>
  <si>
    <t>TXN-1502</t>
  </si>
  <si>
    <t>TXN-1503</t>
  </si>
  <si>
    <t>TXN-1504</t>
  </si>
  <si>
    <t>TXN-1505</t>
  </si>
  <si>
    <t>TXN-1506</t>
  </si>
  <si>
    <t>09/07/2026</t>
  </si>
  <si>
    <t>TXN-1507</t>
  </si>
  <si>
    <t>TXN-1508</t>
  </si>
  <si>
    <t>2026-06-14</t>
  </si>
  <si>
    <t>TXN-1509</t>
  </si>
  <si>
    <t>TXN-1510</t>
  </si>
  <si>
    <t>01/04/2026</t>
  </si>
  <si>
    <t>TXN-1511</t>
  </si>
  <si>
    <t>TXN-1512</t>
  </si>
  <si>
    <t>TXN-1513</t>
  </si>
  <si>
    <t>2026-03-23</t>
  </si>
  <si>
    <t>TXN-1514</t>
  </si>
  <si>
    <t>TXN-1515</t>
  </si>
  <si>
    <t>TXN-1516</t>
  </si>
  <si>
    <t>2026-07-18</t>
  </si>
  <si>
    <t>TXN-1517</t>
  </si>
  <si>
    <t>TXN-1518</t>
  </si>
  <si>
    <t>2026-08-08</t>
  </si>
  <si>
    <t>TXN-1519</t>
  </si>
  <si>
    <t>TXN-1520</t>
  </si>
  <si>
    <t>TXN-1521</t>
  </si>
  <si>
    <t>02/19/2026</t>
  </si>
  <si>
    <t>TXN-1522</t>
  </si>
  <si>
    <t>TXN-1523</t>
  </si>
  <si>
    <t>2026-05-23</t>
  </si>
  <si>
    <t>TXN-1524</t>
  </si>
  <si>
    <t>TXN-1525</t>
  </si>
  <si>
    <t>TXN-1526</t>
  </si>
  <si>
    <t>TXN-1527</t>
  </si>
  <si>
    <t>TXN-1528</t>
  </si>
  <si>
    <t>TXN-1529</t>
  </si>
  <si>
    <t>TXN-1530</t>
  </si>
  <si>
    <t>TXN-1531</t>
  </si>
  <si>
    <t>TXN-1532</t>
  </si>
  <si>
    <t>TXN-1533</t>
  </si>
  <si>
    <t>TXN-1534</t>
  </si>
  <si>
    <t>TXN-1535</t>
  </si>
  <si>
    <t>TXN-1536</t>
  </si>
  <si>
    <t>TXN-1537</t>
  </si>
  <si>
    <t>TXN-1538</t>
  </si>
  <si>
    <t>2026-05-27</t>
  </si>
  <si>
    <t>TXN-1539</t>
  </si>
  <si>
    <t>TXN-1540</t>
  </si>
  <si>
    <t>2026-08-12</t>
  </si>
  <si>
    <t>prod-012</t>
  </si>
  <si>
    <t>TXN-1541</t>
  </si>
  <si>
    <t>TXN-1542</t>
  </si>
  <si>
    <t>TXN-1543</t>
  </si>
  <si>
    <t>TXN-1544</t>
  </si>
  <si>
    <t>TXN-1545</t>
  </si>
  <si>
    <t>06/17/2026</t>
  </si>
  <si>
    <t>TXN-1546</t>
  </si>
  <si>
    <t>03/07/2026</t>
  </si>
  <si>
    <t>prod-010</t>
  </si>
  <si>
    <t>TXN-1547</t>
  </si>
  <si>
    <t>08/29/2026</t>
  </si>
  <si>
    <t>TXN-1548</t>
  </si>
  <si>
    <t>TXN-1549</t>
  </si>
  <si>
    <t>TXN-1550</t>
  </si>
  <si>
    <t>TXN-1551</t>
  </si>
  <si>
    <t>TXN-1552</t>
  </si>
  <si>
    <t>04/12/2026</t>
  </si>
  <si>
    <t>TXN-1553</t>
  </si>
  <si>
    <t>TXN-1554</t>
  </si>
  <si>
    <t>TXN-1555</t>
  </si>
  <si>
    <t>TXN-1556</t>
  </si>
  <si>
    <t>TXN-1557</t>
  </si>
  <si>
    <t>TXN-1558</t>
  </si>
  <si>
    <t>TXN-1559</t>
  </si>
  <si>
    <t>04/20/2026</t>
  </si>
  <si>
    <t>TXN-1560</t>
  </si>
  <si>
    <t>TXN-1561</t>
  </si>
  <si>
    <t>TXN-1562</t>
  </si>
  <si>
    <t>2026-07-31</t>
  </si>
  <si>
    <t>TXN-1563</t>
  </si>
  <si>
    <t>TXN-1564</t>
  </si>
  <si>
    <t>TXN-1565</t>
  </si>
  <si>
    <t>TXN-1566</t>
  </si>
  <si>
    <t>TXN-1567</t>
  </si>
  <si>
    <t>TXN-1568</t>
  </si>
  <si>
    <t>TXN-1569</t>
  </si>
  <si>
    <t>TXN-1570</t>
  </si>
  <si>
    <t>TXN-1571</t>
  </si>
  <si>
    <t>TXN-1572</t>
  </si>
  <si>
    <t>TXN-1573</t>
  </si>
  <si>
    <t>TXN-1574</t>
  </si>
  <si>
    <t>2026-02-26</t>
  </si>
  <si>
    <t>TXN-1575</t>
  </si>
  <si>
    <t>TXN-1576</t>
  </si>
  <si>
    <t>TXN-1577</t>
  </si>
  <si>
    <t>TXN-1578</t>
  </si>
  <si>
    <t>TXN-1579</t>
  </si>
  <si>
    <t>TXN-1580</t>
  </si>
  <si>
    <t>TXN-1581</t>
  </si>
  <si>
    <t>TXN-1582</t>
  </si>
  <si>
    <t>2026-04-10</t>
  </si>
  <si>
    <t>TXN-1583</t>
  </si>
  <si>
    <t>TXN-1584</t>
  </si>
  <si>
    <t>TXN-1585</t>
  </si>
  <si>
    <t>TXN-1586</t>
  </si>
  <si>
    <t>TXN-1587</t>
  </si>
  <si>
    <t>TXN-1588</t>
  </si>
  <si>
    <t>TXN-1589</t>
  </si>
  <si>
    <t>03/14/2026</t>
  </si>
  <si>
    <t>TXN-1590</t>
  </si>
  <si>
    <t>TXN-1591</t>
  </si>
  <si>
    <t>TXN-1592</t>
  </si>
  <si>
    <t>07/06/2026</t>
  </si>
  <si>
    <t>TXN-1593</t>
  </si>
  <si>
    <t>TXN-1594</t>
  </si>
  <si>
    <t>TXN-1595</t>
  </si>
  <si>
    <t>2026-03-08</t>
  </si>
  <si>
    <t>TXN-1596</t>
  </si>
  <si>
    <t>TXN-1597</t>
  </si>
  <si>
    <t>TXN-1598</t>
  </si>
  <si>
    <t>2026-04-06</t>
  </si>
  <si>
    <t>TXN-1599</t>
  </si>
  <si>
    <t>04/18/2026</t>
  </si>
  <si>
    <t>TXN-1600</t>
  </si>
  <si>
    <t>2026-03-30</t>
  </si>
  <si>
    <t>TXN-1601</t>
  </si>
  <si>
    <t>08/20/2026</t>
  </si>
  <si>
    <t>TXN-1602</t>
  </si>
  <si>
    <t>TXN-1603</t>
  </si>
  <si>
    <t>TXN-1604</t>
  </si>
  <si>
    <t>09/18/2026</t>
  </si>
  <si>
    <t>TXN-1605</t>
  </si>
  <si>
    <t>TXN-1606</t>
  </si>
  <si>
    <t>07/29/2026</t>
  </si>
  <si>
    <t>TXN-1607</t>
  </si>
  <si>
    <t>TXN-1608</t>
  </si>
  <si>
    <t>05/05/2026</t>
  </si>
  <si>
    <t>TXN-1609</t>
  </si>
  <si>
    <t>TXN-1610</t>
  </si>
  <si>
    <t>2026-03-24</t>
  </si>
  <si>
    <t>TXN-1611</t>
  </si>
  <si>
    <t>TXN-1612</t>
  </si>
  <si>
    <t>TXN-1613</t>
  </si>
  <si>
    <t>TXN-1614</t>
  </si>
  <si>
    <t>TXN-1615</t>
  </si>
  <si>
    <t>06/14/2026</t>
  </si>
  <si>
    <t>TXN-1616</t>
  </si>
  <si>
    <t>2026-09-20</t>
  </si>
  <si>
    <t>TXN-1617</t>
  </si>
  <si>
    <t>2026-01-02</t>
  </si>
  <si>
    <t>TXN-1618</t>
  </si>
  <si>
    <t>TXN-1619</t>
  </si>
  <si>
    <t>2026-04-30</t>
  </si>
  <si>
    <t>TXN-1620</t>
  </si>
  <si>
    <t>TXN-1621</t>
  </si>
  <si>
    <t>TXN-1622</t>
  </si>
  <si>
    <t>2026-01-24</t>
  </si>
  <si>
    <t>TXN-1623</t>
  </si>
  <si>
    <t>TXN-1624</t>
  </si>
  <si>
    <t>TXN-1625</t>
  </si>
  <si>
    <t>TXN-1626</t>
  </si>
  <si>
    <t>TXN-1627</t>
  </si>
  <si>
    <t>TXN-1628</t>
  </si>
  <si>
    <t>TXN-1629</t>
  </si>
  <si>
    <t>TXN-1630</t>
  </si>
  <si>
    <t>TXN-1631</t>
  </si>
  <si>
    <t>TXN-1632</t>
  </si>
  <si>
    <t>TXN-1633</t>
  </si>
  <si>
    <t>TXN-1634</t>
  </si>
  <si>
    <t>TXN-1635</t>
  </si>
  <si>
    <t>TXN-1636</t>
  </si>
  <si>
    <t>TXN-1637</t>
  </si>
  <si>
    <t>TXN-1638</t>
  </si>
  <si>
    <t>TXN-1639</t>
  </si>
  <si>
    <t>TXN-1640</t>
  </si>
  <si>
    <t>TXN-1641</t>
  </si>
  <si>
    <t>TXN-1642</t>
  </si>
  <si>
    <t>TXN-1643</t>
  </si>
  <si>
    <t>TXN-1644</t>
  </si>
  <si>
    <t>TXN-1645</t>
  </si>
  <si>
    <t>2026-08-20</t>
  </si>
  <si>
    <t>TXN-1646</t>
  </si>
  <si>
    <t>10/02/2026</t>
  </si>
  <si>
    <t>TXN-1647</t>
  </si>
  <si>
    <t>TXN-1648</t>
  </si>
  <si>
    <t>2026-08-07</t>
  </si>
  <si>
    <t>TXN-1649</t>
  </si>
  <si>
    <t>2026-05-18</t>
  </si>
  <si>
    <t>TXN-1650</t>
  </si>
  <si>
    <t>TXN-1651</t>
  </si>
  <si>
    <t>TXN-1652</t>
  </si>
  <si>
    <t>TXN-1653</t>
  </si>
  <si>
    <t>TXN-1654</t>
  </si>
  <si>
    <t>TXN-1655</t>
  </si>
  <si>
    <t>TXN-1656</t>
  </si>
  <si>
    <t>TXN-1657</t>
  </si>
  <si>
    <t>01/02/2026</t>
  </si>
  <si>
    <t>TXN-1658</t>
  </si>
  <si>
    <t>TXN-1659</t>
  </si>
  <si>
    <t>TXN-1660</t>
  </si>
  <si>
    <t>TXN-1661</t>
  </si>
  <si>
    <t>10/07/2026</t>
  </si>
  <si>
    <t>TXN-1662</t>
  </si>
  <si>
    <t>TXN-1663</t>
  </si>
  <si>
    <t>TXN-1664</t>
  </si>
  <si>
    <t>TXN-1665</t>
  </si>
  <si>
    <t>TXN-1666</t>
  </si>
  <si>
    <t>TXN-1667</t>
  </si>
  <si>
    <t>TXN-1668</t>
  </si>
  <si>
    <t>TXN-1669</t>
  </si>
  <si>
    <t>TXN-1670</t>
  </si>
  <si>
    <t>TXN-1671</t>
  </si>
  <si>
    <t>TXN-1672</t>
  </si>
  <si>
    <t>TXN-1673</t>
  </si>
  <si>
    <t>TXN-1674</t>
  </si>
  <si>
    <t>TXN-1675</t>
  </si>
  <si>
    <t>TXN-1676</t>
  </si>
  <si>
    <t>2026-03-11</t>
  </si>
  <si>
    <t>TXN-1677</t>
  </si>
  <si>
    <t>TXN-1678</t>
  </si>
  <si>
    <t>02/18/2026</t>
  </si>
  <si>
    <t>TXN-1679</t>
  </si>
  <si>
    <t>TXN-1680</t>
  </si>
  <si>
    <t>TXN-1681</t>
  </si>
  <si>
    <t>TXN-1682</t>
  </si>
  <si>
    <t>TXN-1683</t>
  </si>
  <si>
    <t>TXN-1684</t>
  </si>
  <si>
    <t>TXN-1685</t>
  </si>
  <si>
    <t>TXN-1686</t>
  </si>
  <si>
    <t>TXN-1687</t>
  </si>
  <si>
    <t>TXN-1688</t>
  </si>
  <si>
    <t>TXN-1689</t>
  </si>
  <si>
    <t>TXN-1690</t>
  </si>
  <si>
    <t>05/23/2026</t>
  </si>
  <si>
    <t>TXN-1691</t>
  </si>
  <si>
    <t>TXN-1692</t>
  </si>
  <si>
    <t>TXN-1693</t>
  </si>
  <si>
    <t>TXN-1694</t>
  </si>
  <si>
    <t>TXN-1695</t>
  </si>
  <si>
    <t>TXN-1696</t>
  </si>
  <si>
    <t>04/16/2026</t>
  </si>
  <si>
    <t>TXN-1697</t>
  </si>
  <si>
    <t>TXN-1698</t>
  </si>
  <si>
    <t>TXN-1699</t>
  </si>
  <si>
    <t>TXN-1700</t>
  </si>
  <si>
    <t>TXN-1701</t>
  </si>
  <si>
    <t>TXN-1702</t>
  </si>
  <si>
    <t>TXN-1703</t>
  </si>
  <si>
    <t>TXN-1704</t>
  </si>
  <si>
    <t>TXN-1705</t>
  </si>
  <si>
    <t>06/01/2026</t>
  </si>
  <si>
    <t>TXN-1706</t>
  </si>
  <si>
    <t>05/10/2026</t>
  </si>
  <si>
    <t>TXN-1707</t>
  </si>
  <si>
    <t>TXN-1708</t>
  </si>
  <si>
    <t>2026-05-15</t>
  </si>
  <si>
    <t>TXN-1709</t>
  </si>
  <si>
    <t>TXN-1710</t>
  </si>
  <si>
    <t>TXN-1711</t>
  </si>
  <si>
    <t>TXN-1712</t>
  </si>
  <si>
    <t>TXN-1713</t>
  </si>
  <si>
    <t>TXN-1714</t>
  </si>
  <si>
    <t>TXN-1715</t>
  </si>
  <si>
    <t>TXN-1716</t>
  </si>
  <si>
    <t>TXN-1717</t>
  </si>
  <si>
    <t>TXN-1718</t>
  </si>
  <si>
    <t>TXN-1719</t>
  </si>
  <si>
    <t>TXN-1720</t>
  </si>
  <si>
    <t>TXN-1721</t>
  </si>
  <si>
    <t>2026-01-01</t>
  </si>
  <si>
    <t>TXN-1722</t>
  </si>
  <si>
    <t>TXN-1723</t>
  </si>
  <si>
    <t>TXN-1724</t>
  </si>
  <si>
    <t>TXN-1725</t>
  </si>
  <si>
    <t>2026-01-26</t>
  </si>
  <si>
    <t>TXN-1726</t>
  </si>
  <si>
    <t>TXN-1727</t>
  </si>
  <si>
    <t>TXN-1728</t>
  </si>
  <si>
    <t>TXN-1729</t>
  </si>
  <si>
    <t>2026-07-03</t>
  </si>
  <si>
    <t>TXN-1730</t>
  </si>
  <si>
    <t>TXN-1731</t>
  </si>
  <si>
    <t>prod-011</t>
  </si>
  <si>
    <t>TXN-1732</t>
  </si>
  <si>
    <t>TXN-1733</t>
  </si>
  <si>
    <t>TXN-1734</t>
  </si>
  <si>
    <t>TXN-1735</t>
  </si>
  <si>
    <t>03/24/2026</t>
  </si>
  <si>
    <t>TXN-1736</t>
  </si>
  <si>
    <t>TXN-1737</t>
  </si>
  <si>
    <t>TXN-1738</t>
  </si>
  <si>
    <t>TXN-1739</t>
  </si>
  <si>
    <t>TXN-1740</t>
  </si>
  <si>
    <t>09/01/2026</t>
  </si>
  <si>
    <t>TXN-1741</t>
  </si>
  <si>
    <t>06/19/2026</t>
  </si>
  <si>
    <t>TXN-1742</t>
  </si>
  <si>
    <t>TXN-1743</t>
  </si>
  <si>
    <t>TXN-1744</t>
  </si>
  <si>
    <t>TXN-1745</t>
  </si>
  <si>
    <t>TXN-1746</t>
  </si>
  <si>
    <t>04/15/2026</t>
  </si>
  <si>
    <t>TXN-1747</t>
  </si>
  <si>
    <t>TXN-1748</t>
  </si>
  <si>
    <t>TXN-1749</t>
  </si>
  <si>
    <t>TXN-1750</t>
  </si>
  <si>
    <t>03/16/2026</t>
  </si>
  <si>
    <t>TXN-1751</t>
  </si>
  <si>
    <t>05/06/2026</t>
  </si>
  <si>
    <t>TXN-1752</t>
  </si>
  <si>
    <t>TXN-1753</t>
  </si>
  <si>
    <t>08/21/2026</t>
  </si>
  <si>
    <t>TXN-1754</t>
  </si>
  <si>
    <t>TXN-1755</t>
  </si>
  <si>
    <t>TXN-1756</t>
  </si>
  <si>
    <t>TXN-1757</t>
  </si>
  <si>
    <t>TXN-1758</t>
  </si>
  <si>
    <t>TXN-1759</t>
  </si>
  <si>
    <t>TXN-1760</t>
  </si>
  <si>
    <t>TXN-1761</t>
  </si>
  <si>
    <t>TXN-1762</t>
  </si>
  <si>
    <t>TXN-1763</t>
  </si>
  <si>
    <t>TXN-1764</t>
  </si>
  <si>
    <t>TXN-1765</t>
  </si>
  <si>
    <t>prod-013</t>
  </si>
  <si>
    <t>TXN-1766</t>
  </si>
  <si>
    <t>TXN-1767</t>
  </si>
  <si>
    <t>08/05/2026</t>
  </si>
  <si>
    <t>TXN-1768</t>
  </si>
  <si>
    <t>TXN-1769</t>
  </si>
  <si>
    <t>TXN-1770</t>
  </si>
  <si>
    <t>TXN-1771</t>
  </si>
  <si>
    <t>TXN-1772</t>
  </si>
  <si>
    <t>TXN-1773</t>
  </si>
  <si>
    <t>04/17/2026</t>
  </si>
  <si>
    <t>TXN-1774</t>
  </si>
  <si>
    <t>TXN-1775</t>
  </si>
  <si>
    <t>TXN-1776</t>
  </si>
  <si>
    <t>03/15/2026</t>
  </si>
  <si>
    <t>TXN-1777</t>
  </si>
  <si>
    <t>TXN-1778</t>
  </si>
  <si>
    <t>TXN-1779</t>
  </si>
  <si>
    <t>TXN-1780</t>
  </si>
  <si>
    <t>TXN-1781</t>
  </si>
  <si>
    <t>TXN-1782</t>
  </si>
  <si>
    <t>TXN-1783</t>
  </si>
  <si>
    <t>TXN-1784</t>
  </si>
  <si>
    <t>04/26/2026</t>
  </si>
  <si>
    <t>TXN-1785</t>
  </si>
  <si>
    <t>TXN-1786</t>
  </si>
  <si>
    <t>TXN-1787</t>
  </si>
  <si>
    <t>TXN-1788</t>
  </si>
  <si>
    <t>TXN-1789</t>
  </si>
  <si>
    <t>TXN-1790</t>
  </si>
  <si>
    <t>TXN-1791</t>
  </si>
  <si>
    <t>TXN-1792</t>
  </si>
  <si>
    <t>TXN-1793</t>
  </si>
  <si>
    <t>TXN-1794</t>
  </si>
  <si>
    <t>prod-016</t>
  </si>
  <si>
    <t>TXN-1795</t>
  </si>
  <si>
    <t>09/25/2026</t>
  </si>
  <si>
    <t>TXN-1796</t>
  </si>
  <si>
    <t>TXN-1797</t>
  </si>
  <si>
    <t>TXN-1798</t>
  </si>
  <si>
    <t>TXN-1799</t>
  </si>
  <si>
    <t>TXN-1800</t>
  </si>
  <si>
    <t>TXN-1801</t>
  </si>
  <si>
    <t>2026-08-24</t>
  </si>
  <si>
    <t>TXN-1802</t>
  </si>
  <si>
    <t>TXN-1803</t>
  </si>
  <si>
    <t>2026-06-30</t>
  </si>
  <si>
    <t>TXN-1804</t>
  </si>
  <si>
    <t>TXN-1805</t>
  </si>
  <si>
    <t>TXN-1806</t>
  </si>
  <si>
    <t>TXN-1807</t>
  </si>
  <si>
    <t>TXN-1808</t>
  </si>
  <si>
    <t>TXN-1809</t>
  </si>
  <si>
    <t>TXN-1810</t>
  </si>
  <si>
    <t>TXN-1811</t>
  </si>
  <si>
    <t>TXN-1812</t>
  </si>
  <si>
    <t>TXN-1813</t>
  </si>
  <si>
    <t>2026-06-08</t>
  </si>
  <si>
    <t>TXN-1814</t>
  </si>
  <si>
    <t>TXN-1815</t>
  </si>
  <si>
    <t>TXN-1816</t>
  </si>
  <si>
    <t>TXN-1817</t>
  </si>
  <si>
    <t>TXN-1818</t>
  </si>
  <si>
    <t>TXN-1819</t>
  </si>
  <si>
    <t>TXN-1820</t>
  </si>
  <si>
    <t>TXN-1821</t>
  </si>
  <si>
    <t>TXN-1822</t>
  </si>
  <si>
    <t>TXN-1823</t>
  </si>
  <si>
    <t>TXN-1824</t>
  </si>
  <si>
    <t>TXN-1825</t>
  </si>
  <si>
    <t>TXN-1826</t>
  </si>
  <si>
    <t>TXN-1827</t>
  </si>
  <si>
    <t>TXN-1828</t>
  </si>
  <si>
    <t>TXN-1829</t>
  </si>
  <si>
    <t>TXN-1830</t>
  </si>
  <si>
    <t>TXN-1831</t>
  </si>
  <si>
    <t>TXN-1832</t>
  </si>
  <si>
    <t>TXN-1833</t>
  </si>
  <si>
    <t>TXN-1834</t>
  </si>
  <si>
    <t>TXN-1835</t>
  </si>
  <si>
    <t>TXN-1836</t>
  </si>
  <si>
    <t>TXN-1837</t>
  </si>
  <si>
    <t>02/26/2026</t>
  </si>
  <si>
    <t>TXN-1838</t>
  </si>
  <si>
    <t>TXN-1839</t>
  </si>
  <si>
    <t>TXN-1840</t>
  </si>
  <si>
    <t>TXN-1841</t>
  </si>
  <si>
    <t>05/03/2026</t>
  </si>
  <si>
    <t>TXN-1842</t>
  </si>
  <si>
    <t>TXN-1843</t>
  </si>
  <si>
    <t>TXN-1844</t>
  </si>
  <si>
    <t>TXN-1845</t>
  </si>
  <si>
    <t>TXN-1846</t>
  </si>
  <si>
    <t>TXN-1847</t>
  </si>
  <si>
    <t>TXN-1848</t>
  </si>
  <si>
    <t>TXN-1849</t>
  </si>
  <si>
    <t>Europe</t>
  </si>
  <si>
    <t>True_Date</t>
  </si>
  <si>
    <t>Ultrawide 34In Monitor</t>
  </si>
  <si>
    <t>Hd Webcam 1080P</t>
  </si>
  <si>
    <t>External Ssd 1Tb</t>
  </si>
  <si>
    <t>Usb-C Docking Station</t>
  </si>
  <si>
    <t>Gel Pen Multi-Pack</t>
  </si>
  <si>
    <t>Desk Scissors 3-Pack</t>
  </si>
  <si>
    <t>File Folders Box Of 100</t>
  </si>
  <si>
    <t>Led Desk Lamp W/ Charger</t>
  </si>
  <si>
    <t>Ring Light For Video Calls</t>
  </si>
  <si>
    <t>Privacy Screen Filter 24In</t>
  </si>
  <si>
    <t>Total Unit Sold</t>
  </si>
  <si>
    <t>Ending Inventroy</t>
  </si>
  <si>
    <t>Gross Revenue</t>
  </si>
  <si>
    <t>Inventry Status</t>
  </si>
  <si>
    <t>Row Labels</t>
  </si>
  <si>
    <t>Grand Total</t>
  </si>
  <si>
    <t>REORDER</t>
  </si>
  <si>
    <t>STABLE</t>
  </si>
  <si>
    <t>STOCK CRISIS</t>
  </si>
  <si>
    <t>Count of Product ID</t>
  </si>
  <si>
    <t>Question: How many products are in each inventory status?</t>
  </si>
  <si>
    <t>REVENUE</t>
  </si>
  <si>
    <t>Profit</t>
  </si>
  <si>
    <t>Month</t>
  </si>
  <si>
    <t>Month field</t>
  </si>
  <si>
    <t>Sum of REVENUE</t>
  </si>
  <si>
    <t>Sum of Quantity Sold</t>
  </si>
  <si>
    <t>Apr 2026</t>
  </si>
  <si>
    <t>Aug 2026</t>
  </si>
  <si>
    <t>Feb 2026</t>
  </si>
  <si>
    <t>Jan 2026</t>
  </si>
  <si>
    <t>Jul 2026</t>
  </si>
  <si>
    <t>Jun 2026</t>
  </si>
  <si>
    <t>Mar 2026</t>
  </si>
  <si>
    <t>May 2026</t>
  </si>
  <si>
    <t>Oct 2026</t>
  </si>
  <si>
    <t>Sep 2026</t>
  </si>
  <si>
    <t xml:space="preserve">  </t>
  </si>
  <si>
    <t>Sum of Unit Cost</t>
  </si>
  <si>
    <t>Sum of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</si>
</sst>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quot;₹&quot;\ #,##0.00"/>
  </numFmts>
  <fonts count="2" x14ac:knownFonts="1">
    <font>
      <sz val="11"/>
      <color theme="1"/>
      <name val="Calibri"/>
      <family val="2"/>
      <scheme val="minor"/>
    </font>
    <font>
      <b/>
      <sz val="11"/>
      <name val="Calibri"/>
    </font>
  </fonts>
  <fills count="3">
    <fill>
      <patternFill patternType="none"/>
    </fill>
    <fill>
      <patternFill patternType="gray125"/>
    </fill>
    <fill>
      <patternFill patternType="solid">
        <fgColor theme="0" tint="-0.14999847407452621"/>
        <bgColor indexed="64"/>
      </patternFill>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10">
    <xf numFmtId="0" fontId="0" fillId="0" borderId="0" xfId="0"/>
    <xf numFmtId="0" fontId="1" fillId="0" borderId="1" xfId="0" applyFont="1" applyBorder="1" applyAlignment="1">
      <alignment horizontal="center" vertical="top"/>
    </xf>
    <xf numFmtId="14" fontId="0" fillId="0" borderId="0" xfId="0" applyNumberFormat="1"/>
    <xf numFmtId="0" fontId="0" fillId="0" borderId="0" xfId="0" pivotButton="1"/>
    <xf numFmtId="0" fontId="0" fillId="0" borderId="0" xfId="0" applyAlignment="1">
      <alignment horizontal="left"/>
    </xf>
    <xf numFmtId="1" fontId="0" fillId="0" borderId="0" xfId="0" applyNumberFormat="1"/>
    <xf numFmtId="0" fontId="0" fillId="0" borderId="0" xfId="0" applyNumberFormat="1"/>
    <xf numFmtId="165" fontId="0" fillId="0" borderId="0" xfId="0" applyNumberFormat="1"/>
    <xf numFmtId="0" fontId="0" fillId="2" borderId="0" xfId="0" applyFill="1"/>
    <xf numFmtId="0" fontId="0" fillId="2" borderId="0" xfId="0" applyNumberFormat="1" applyFill="1"/>
  </cellXfs>
  <cellStyles count="1">
    <cellStyle name="Normal" xfId="0" builtinId="0"/>
  </cellStyles>
  <dxfs count="42">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0.14999847407452621"/>
        </patternFill>
      </fill>
    </dxf>
    <dxf>
      <font>
        <color rgb="FF9C0006"/>
      </font>
      <fill>
        <patternFill>
          <bgColor rgb="FFFFC7CE"/>
        </patternFill>
      </fill>
    </dxf>
    <dxf>
      <font>
        <color rgb="FF9C5700"/>
      </font>
      <fill>
        <patternFill>
          <bgColor rgb="FFFFEB9C"/>
        </patternFill>
      </fill>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19" formatCode="dd/mm/yyyy"/>
    </dxf>
    <dxf>
      <numFmt numFmtId="0" formatCode="General"/>
    </dxf>
    <dxf>
      <numFmt numFmtId="0" formatCode="General"/>
    </dxf>
    <dxf>
      <numFmt numFmtId="1" formatCode="0"/>
    </dxf>
    <dxf>
      <numFmt numFmtId="0" formatCode="General"/>
    </dxf>
    <dxf>
      <numFmt numFmtId="0" formatCode="General"/>
    </dxf>
    <dxf>
      <numFmt numFmtId="0" formatCode="Genera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theme" Target="theme/theme1.xml"/><Relationship Id="rId18" Type="http://schemas.openxmlformats.org/officeDocument/2006/relationships/powerPivotData" Target="model/item.data"/><Relationship Id="rId26" Type="http://schemas.openxmlformats.org/officeDocument/2006/relationships/customXml" Target="../customXml/item7.xml"/><Relationship Id="rId21" Type="http://schemas.openxmlformats.org/officeDocument/2006/relationships/customXml" Target="../customXml/item2.xml"/><Relationship Id="rId34" Type="http://schemas.openxmlformats.org/officeDocument/2006/relationships/customXml" Target="../customXml/item15.xml"/><Relationship Id="rId7" Type="http://schemas.openxmlformats.org/officeDocument/2006/relationships/worksheet" Target="worksheets/sheet7.xml"/><Relationship Id="rId12" Type="http://schemas.microsoft.com/office/2011/relationships/timelineCache" Target="timelineCaches/timelineCache1.xml"/><Relationship Id="rId17" Type="http://schemas.openxmlformats.org/officeDocument/2006/relationships/sheetMetadata" Target="metadata.xml"/><Relationship Id="rId25" Type="http://schemas.openxmlformats.org/officeDocument/2006/relationships/customXml" Target="../customXml/item6.xml"/><Relationship Id="rId33" Type="http://schemas.openxmlformats.org/officeDocument/2006/relationships/customXml" Target="../customXml/item14.xml"/><Relationship Id="rId38" Type="http://schemas.openxmlformats.org/officeDocument/2006/relationships/customXml" Target="../customXml/item19.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1.xml"/><Relationship Id="rId29" Type="http://schemas.openxmlformats.org/officeDocument/2006/relationships/customXml" Target="../customXml/item10.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24" Type="http://schemas.openxmlformats.org/officeDocument/2006/relationships/customXml" Target="../customXml/item5.xml"/><Relationship Id="rId32" Type="http://schemas.openxmlformats.org/officeDocument/2006/relationships/customXml" Target="../customXml/item13.xml"/><Relationship Id="rId37" Type="http://schemas.openxmlformats.org/officeDocument/2006/relationships/customXml" Target="../customXml/item18.xml"/><Relationship Id="rId5" Type="http://schemas.openxmlformats.org/officeDocument/2006/relationships/worksheet" Target="worksheets/sheet5.xml"/><Relationship Id="rId15" Type="http://schemas.openxmlformats.org/officeDocument/2006/relationships/styles" Target="styles.xml"/><Relationship Id="rId23" Type="http://schemas.openxmlformats.org/officeDocument/2006/relationships/customXml" Target="../customXml/item4.xml"/><Relationship Id="rId28" Type="http://schemas.openxmlformats.org/officeDocument/2006/relationships/customXml" Target="../customXml/item9.xml"/><Relationship Id="rId36" Type="http://schemas.openxmlformats.org/officeDocument/2006/relationships/customXml" Target="../customXml/item17.xml"/><Relationship Id="rId10" Type="http://schemas.openxmlformats.org/officeDocument/2006/relationships/pivotCacheDefinition" Target="pivotCache/pivotCacheDefinition2.xml"/><Relationship Id="rId19" Type="http://schemas.openxmlformats.org/officeDocument/2006/relationships/calcChain" Target="calcChain.xml"/><Relationship Id="rId31" Type="http://schemas.openxmlformats.org/officeDocument/2006/relationships/customXml" Target="../customXml/item12.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connections" Target="connections.xml"/><Relationship Id="rId22" Type="http://schemas.openxmlformats.org/officeDocument/2006/relationships/customXml" Target="../customXml/item3.xml"/><Relationship Id="rId27" Type="http://schemas.openxmlformats.org/officeDocument/2006/relationships/customXml" Target="../customXml/item8.xml"/><Relationship Id="rId30" Type="http://schemas.openxmlformats.org/officeDocument/2006/relationships/customXml" Target="../customXml/item11.xml"/><Relationship Id="rId35" Type="http://schemas.openxmlformats.org/officeDocument/2006/relationships/customXml" Target="../customXml/item16.xml"/><Relationship Id="rId8" Type="http://schemas.openxmlformats.org/officeDocument/2006/relationships/worksheet" Target="worksheets/sheet8.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[Enterprise_Inventory_and_Sales_Data.xlsx]sales channel revenue!PivotTable4</c:name>
    <c:fmtId val="8"/>
  </c:pivotSource>
  <c:chart>
    <c:title>
      <c:tx>
        <c:rich>
          <a:bodyPr rot="0" spcFirstLastPara="1" vertOverflow="ellipsis" vert="horz" wrap="square" anchor="ctr" anchorCtr="1"/>
          <a:lstStyle/>
          <a:p>
            <a:pPr>
              <a:defRPr sz="1400" b="0" i="0" u="none" strike="noStrike" kern="1200" spc="0" baseline="0">
                <a:ln>
                  <a:noFill/>
                </a:ln>
                <a:solidFill>
                  <a:sysClr val="windowText" lastClr="000000">
                    <a:lumMod val="65000"/>
                    <a:lumOff val="35000"/>
                  </a:sysClr>
                </a:solidFill>
                <a:latin typeface="+mn-lt"/>
                <a:ea typeface="+mn-ea"/>
                <a:cs typeface="+mn-cs"/>
              </a:defRPr>
            </a:pPr>
            <a:r>
              <a:rPr lang="en-IN" sz="1400" b="0" i="0" u="none" strike="noStrike" baseline="0">
                <a:ln>
                  <a:noFill/>
                </a:ln>
                <a:solidFill>
                  <a:sysClr val="windowText" lastClr="000000">
                    <a:lumMod val="65000"/>
                    <a:lumOff val="35000"/>
                  </a:sysClr>
                </a:solidFill>
              </a:rPr>
              <a:t>Revenue by Sales Channel</a:t>
            </a:r>
            <a:endParaRPr lang="en-US">
              <a:ln>
                <a:noFill/>
              </a:ln>
              <a:solidFill>
                <a:sysClr val="windowText" lastClr="000000">
                  <a:lumMod val="65000"/>
                  <a:lumOff val="35000"/>
                </a:sysClr>
              </a:solidFill>
            </a:endParaRPr>
          </a:p>
        </c:rich>
      </c:tx>
      <c:layout>
        <c:manualLayout>
          <c:xMode val="edge"/>
          <c:yMode val="edge"/>
          <c:x val="0.32962319365251758"/>
          <c:y val="0.13535072821779631"/>
        </c:manualLayout>
      </c:layout>
      <c:overlay val="0"/>
      <c:spPr>
        <a:solidFill>
          <a:schemeClr val="bg1">
            <a:lumMod val="95000"/>
          </a:schemeClr>
        </a:solidFill>
        <a:ln>
          <a:noFill/>
        </a:ln>
        <a:effectLst/>
      </c:spPr>
      <c:txPr>
        <a:bodyPr rot="0" spcFirstLastPara="1" vertOverflow="ellipsis" vert="horz" wrap="square" anchor="ctr" anchorCtr="1"/>
        <a:lstStyle/>
        <a:p>
          <a:pPr>
            <a:defRPr sz="1400" b="0" i="0" u="none" strike="noStrike" kern="1200" spc="0" baseline="0">
              <a:ln>
                <a:noFill/>
              </a:ln>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4"/>
          </a:solidFill>
          <a:ln>
            <a:noFill/>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 channel revenue'!$B$3</c:f>
              <c:strCache>
                <c:ptCount val="1"/>
                <c:pt idx="0">
                  <c:v>Total</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channel revenue'!$A$4:$A$7</c:f>
              <c:strCache>
                <c:ptCount val="3"/>
                <c:pt idx="0">
                  <c:v>In-Store</c:v>
                </c:pt>
                <c:pt idx="1">
                  <c:v>Wholesale</c:v>
                </c:pt>
                <c:pt idx="2">
                  <c:v>Online</c:v>
                </c:pt>
              </c:strCache>
            </c:strRef>
          </c:cat>
          <c:val>
            <c:numRef>
              <c:f>'sales channel revenue'!$B$4:$B$7</c:f>
              <c:numCache>
                <c:formatCode>General</c:formatCode>
                <c:ptCount val="3"/>
                <c:pt idx="0">
                  <c:v>179849.67999999996</c:v>
                </c:pt>
                <c:pt idx="1">
                  <c:v>192529.8400000002</c:v>
                </c:pt>
                <c:pt idx="2">
                  <c:v>200231.93000000008</c:v>
                </c:pt>
              </c:numCache>
            </c:numRef>
          </c:val>
          <c:extLst>
            <c:ext xmlns:c16="http://schemas.microsoft.com/office/drawing/2014/chart" uri="{C3380CC4-5D6E-409C-BE32-E72D297353CC}">
              <c16:uniqueId val="{00000000-FB55-4529-A68F-F5778A9AF71A}"/>
            </c:ext>
          </c:extLst>
        </c:ser>
        <c:dLbls>
          <c:dLblPos val="outEnd"/>
          <c:showLegendKey val="0"/>
          <c:showVal val="1"/>
          <c:showCatName val="0"/>
          <c:showSerName val="0"/>
          <c:showPercent val="0"/>
          <c:showBubbleSize val="0"/>
        </c:dLbls>
        <c:gapWidth val="182"/>
        <c:axId val="1552999968"/>
        <c:axId val="421414736"/>
      </c:barChart>
      <c:catAx>
        <c:axId val="155299996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1414736"/>
        <c:crosses val="autoZero"/>
        <c:auto val="1"/>
        <c:lblAlgn val="ctr"/>
        <c:lblOffset val="100"/>
        <c:noMultiLvlLbl val="0"/>
      </c:catAx>
      <c:valAx>
        <c:axId val="421414736"/>
        <c:scaling>
          <c:orientation val="minMax"/>
        </c:scaling>
        <c:delete val="1"/>
        <c:axPos val="b"/>
        <c:numFmt formatCode="General" sourceLinked="1"/>
        <c:majorTickMark val="out"/>
        <c:minorTickMark val="none"/>
        <c:tickLblPos val="nextTo"/>
        <c:crossAx val="15529999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[Enterprise_Inventory_and_Sales_Data.xlsx]monthly revenue!PivotTable6</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Monthly Revenue Trend</a:t>
            </a:r>
            <a:endParaRPr lang="en-IN"/>
          </a:p>
        </c:rich>
      </c:tx>
      <c:overlay val="0"/>
      <c:spPr>
        <a:solidFill>
          <a:schemeClr val="bg1">
            <a:lumMod val="95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4"/>
          </a:solidFill>
          <a:ln w="28575" cap="rnd">
            <a:solidFill>
              <a:schemeClr val="accent4"/>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w="28575" cap="rnd">
            <a:solidFill>
              <a:schemeClr val="accent4"/>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4"/>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revenue'!$B$3</c:f>
              <c:strCache>
                <c:ptCount val="1"/>
                <c:pt idx="0">
                  <c:v>Total</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'monthly revenue'!$A$4:$A$14</c:f>
              <c:strCache>
                <c:ptCount val="10"/>
                <c:pt idx="0">
                  <c:v>Apr 2026</c:v>
                </c:pt>
                <c:pt idx="1">
                  <c:v>Aug 2026</c:v>
                </c:pt>
                <c:pt idx="2">
                  <c:v>Feb 2026</c:v>
                </c:pt>
                <c:pt idx="3">
                  <c:v>Jan 2026</c:v>
                </c:pt>
                <c:pt idx="4">
                  <c:v>Jul 2026</c:v>
                </c:pt>
                <c:pt idx="5">
                  <c:v>Jun 2026</c:v>
                </c:pt>
                <c:pt idx="6">
                  <c:v>Mar 2026</c:v>
                </c:pt>
                <c:pt idx="7">
                  <c:v>May 2026</c:v>
                </c:pt>
                <c:pt idx="8">
                  <c:v>Oct 2026</c:v>
                </c:pt>
                <c:pt idx="9">
                  <c:v>Sep 2026</c:v>
                </c:pt>
              </c:strCache>
            </c:strRef>
          </c:cat>
          <c:val>
            <c:numRef>
              <c:f>'monthly revenue'!$B$4:$B$14</c:f>
              <c:numCache>
                <c:formatCode>General</c:formatCode>
                <c:ptCount val="10"/>
                <c:pt idx="0">
                  <c:v>83596.759999999966</c:v>
                </c:pt>
                <c:pt idx="1">
                  <c:v>66818.900000000009</c:v>
                </c:pt>
                <c:pt idx="2">
                  <c:v>66294.770000000019</c:v>
                </c:pt>
                <c:pt idx="3">
                  <c:v>48286.390000000007</c:v>
                </c:pt>
                <c:pt idx="4">
                  <c:v>66593.800000000032</c:v>
                </c:pt>
                <c:pt idx="5">
                  <c:v>51588.98</c:v>
                </c:pt>
                <c:pt idx="6">
                  <c:v>48436.070000000022</c:v>
                </c:pt>
                <c:pt idx="7">
                  <c:v>53865.290000000008</c:v>
                </c:pt>
                <c:pt idx="8">
                  <c:v>20251.349999999999</c:v>
                </c:pt>
                <c:pt idx="9">
                  <c:v>66879.14</c:v>
                </c:pt>
              </c:numCache>
            </c:numRef>
          </c:val>
          <c:smooth val="0"/>
          <c:extLst>
            <c:ext xmlns:c16="http://schemas.microsoft.com/office/drawing/2014/chart" uri="{C3380CC4-5D6E-409C-BE32-E72D297353CC}">
              <c16:uniqueId val="{00000001-A196-400A-902A-E1339EAD0CC1}"/>
            </c:ext>
          </c:extLst>
        </c:ser>
        <c:dLbls>
          <c:dLblPos val="t"/>
          <c:showLegendKey val="0"/>
          <c:showVal val="1"/>
          <c:showCatName val="0"/>
          <c:showSerName val="0"/>
          <c:showPercent val="0"/>
          <c:showBubbleSize val="0"/>
        </c:dLbls>
        <c:marker val="1"/>
        <c:smooth val="0"/>
        <c:axId val="1001971632"/>
        <c:axId val="421396496"/>
      </c:lineChart>
      <c:catAx>
        <c:axId val="10019716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1396496"/>
        <c:crosses val="autoZero"/>
        <c:auto val="1"/>
        <c:lblAlgn val="ctr"/>
        <c:lblOffset val="100"/>
        <c:noMultiLvlLbl val="0"/>
      </c:catAx>
      <c:valAx>
        <c:axId val="421396496"/>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0019716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[Enterprise_Inventory_and_Sales_Data.xlsx]chart 1!PivotTable1</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Total</a:t>
            </a:r>
            <a:r>
              <a:rPr lang="en-IN" baseline="0"/>
              <a:t> Product in Inventory</a:t>
            </a:r>
          </a:p>
        </c:rich>
      </c:tx>
      <c:overlay val="0"/>
      <c:spPr>
        <a:solidFill>
          <a:schemeClr val="bg1">
            <a:lumMod val="95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 1'!$B$3:$B$4</c:f>
              <c:strCache>
                <c:ptCount val="1"/>
                <c:pt idx="0">
                  <c:v>Electronics</c:v>
                </c:pt>
              </c:strCache>
            </c:strRef>
          </c:tx>
          <c:spPr>
            <a:solidFill>
              <a:schemeClr val="accent4">
                <a:shade val="6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 1'!$A$5:$A$7</c:f>
              <c:strCache>
                <c:ptCount val="3"/>
                <c:pt idx="0">
                  <c:v>REORDER</c:v>
                </c:pt>
                <c:pt idx="1">
                  <c:v>STABLE</c:v>
                </c:pt>
                <c:pt idx="2">
                  <c:v>STOCK CRISIS</c:v>
                </c:pt>
              </c:strCache>
            </c:strRef>
          </c:cat>
          <c:val>
            <c:numRef>
              <c:f>'chart 1'!$B$5:$B$7</c:f>
              <c:numCache>
                <c:formatCode>General</c:formatCode>
                <c:ptCount val="3"/>
                <c:pt idx="0">
                  <c:v>3</c:v>
                </c:pt>
                <c:pt idx="1">
                  <c:v>1</c:v>
                </c:pt>
                <c:pt idx="2">
                  <c:v>6</c:v>
                </c:pt>
              </c:numCache>
            </c:numRef>
          </c:val>
          <c:extLst>
            <c:ext xmlns:c16="http://schemas.microsoft.com/office/drawing/2014/chart" uri="{C3380CC4-5D6E-409C-BE32-E72D297353CC}">
              <c16:uniqueId val="{00000000-EEB0-4EC2-85E9-B3E7D418F7A4}"/>
            </c:ext>
          </c:extLst>
        </c:ser>
        <c:ser>
          <c:idx val="1"/>
          <c:order val="1"/>
          <c:tx>
            <c:strRef>
              <c:f>'chart 1'!$C$3:$C$4</c:f>
              <c:strCache>
                <c:ptCount val="1"/>
                <c:pt idx="0">
                  <c:v>Home Office</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 1'!$A$5:$A$7</c:f>
              <c:strCache>
                <c:ptCount val="3"/>
                <c:pt idx="0">
                  <c:v>REORDER</c:v>
                </c:pt>
                <c:pt idx="1">
                  <c:v>STABLE</c:v>
                </c:pt>
                <c:pt idx="2">
                  <c:v>STOCK CRISIS</c:v>
                </c:pt>
              </c:strCache>
            </c:strRef>
          </c:cat>
          <c:val>
            <c:numRef>
              <c:f>'chart 1'!$C$5:$C$7</c:f>
              <c:numCache>
                <c:formatCode>General</c:formatCode>
                <c:ptCount val="3"/>
                <c:pt idx="0">
                  <c:v>1</c:v>
                </c:pt>
                <c:pt idx="1">
                  <c:v>3</c:v>
                </c:pt>
                <c:pt idx="2">
                  <c:v>6</c:v>
                </c:pt>
              </c:numCache>
            </c:numRef>
          </c:val>
          <c:extLst>
            <c:ext xmlns:c16="http://schemas.microsoft.com/office/drawing/2014/chart" uri="{C3380CC4-5D6E-409C-BE32-E72D297353CC}">
              <c16:uniqueId val="{00000001-E602-4792-B47A-FCB295BB085D}"/>
            </c:ext>
          </c:extLst>
        </c:ser>
        <c:ser>
          <c:idx val="2"/>
          <c:order val="2"/>
          <c:tx>
            <c:strRef>
              <c:f>'chart 1'!$D$3:$D$4</c:f>
              <c:strCache>
                <c:ptCount val="1"/>
                <c:pt idx="0">
                  <c:v>Office Supplies</c:v>
                </c:pt>
              </c:strCache>
            </c:strRef>
          </c:tx>
          <c:spPr>
            <a:solidFill>
              <a:schemeClr val="accent4">
                <a:tint val="6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 1'!$A$5:$A$7</c:f>
              <c:strCache>
                <c:ptCount val="3"/>
                <c:pt idx="0">
                  <c:v>REORDER</c:v>
                </c:pt>
                <c:pt idx="1">
                  <c:v>STABLE</c:v>
                </c:pt>
                <c:pt idx="2">
                  <c:v>STOCK CRISIS</c:v>
                </c:pt>
              </c:strCache>
            </c:strRef>
          </c:cat>
          <c:val>
            <c:numRef>
              <c:f>'chart 1'!$D$5:$D$7</c:f>
              <c:numCache>
                <c:formatCode>General</c:formatCode>
                <c:ptCount val="3"/>
                <c:pt idx="1">
                  <c:v>3</c:v>
                </c:pt>
                <c:pt idx="2">
                  <c:v>7</c:v>
                </c:pt>
              </c:numCache>
            </c:numRef>
          </c:val>
          <c:extLst>
            <c:ext xmlns:c16="http://schemas.microsoft.com/office/drawing/2014/chart" uri="{C3380CC4-5D6E-409C-BE32-E72D297353CC}">
              <c16:uniqueId val="{00000002-E602-4792-B47A-FCB295BB085D}"/>
            </c:ext>
          </c:extLst>
        </c:ser>
        <c:dLbls>
          <c:dLblPos val="outEnd"/>
          <c:showLegendKey val="0"/>
          <c:showVal val="1"/>
          <c:showCatName val="0"/>
          <c:showSerName val="0"/>
          <c:showPercent val="0"/>
          <c:showBubbleSize val="0"/>
        </c:dLbls>
        <c:gapWidth val="219"/>
        <c:overlap val="-27"/>
        <c:axId val="929958671"/>
        <c:axId val="915035023"/>
      </c:barChart>
      <c:catAx>
        <c:axId val="9299586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5035023"/>
        <c:crosses val="autoZero"/>
        <c:auto val="1"/>
        <c:lblAlgn val="ctr"/>
        <c:lblOffset val="100"/>
        <c:noMultiLvlLbl val="0"/>
      </c:catAx>
      <c:valAx>
        <c:axId val="91503502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99586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[Enterprise_Inventory_and_Sales_Data.xlsx]monthly revenue!PivotTable9</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a:t>
            </a:r>
            <a:r>
              <a:rPr lang="en-US" baseline="0"/>
              <a:t> by Category</a:t>
            </a:r>
            <a:endParaRPr lang="en-US"/>
          </a:p>
        </c:rich>
      </c:tx>
      <c:overlay val="0"/>
      <c:spPr>
        <a:solidFill>
          <a:schemeClr val="bg1">
            <a:lumMod val="95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areaChart>
        <c:grouping val="standard"/>
        <c:varyColors val="0"/>
        <c:ser>
          <c:idx val="0"/>
          <c:order val="0"/>
          <c:tx>
            <c:strRef>
              <c:f>'monthly revenue'!$B$22</c:f>
              <c:strCache>
                <c:ptCount val="1"/>
                <c:pt idx="0">
                  <c:v>Total</c:v>
                </c:pt>
              </c:strCache>
            </c:strRef>
          </c:tx>
          <c:spPr>
            <a:solidFill>
              <a:schemeClr val="accent4"/>
            </a:solidFill>
            <a:ln>
              <a:noFill/>
            </a:ln>
            <a:effectLst/>
          </c:spPr>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'monthly revenue'!$A$23:$A$26</c:f>
              <c:strCache>
                <c:ptCount val="3"/>
                <c:pt idx="0">
                  <c:v>Electronics</c:v>
                </c:pt>
                <c:pt idx="1">
                  <c:v>Home Office</c:v>
                </c:pt>
                <c:pt idx="2">
                  <c:v>Office Supplies</c:v>
                </c:pt>
              </c:strCache>
            </c:strRef>
          </c:cat>
          <c:val>
            <c:numRef>
              <c:f>'monthly revenue'!$B$23:$B$26</c:f>
              <c:numCache>
                <c:formatCode>General</c:formatCode>
                <c:ptCount val="3"/>
                <c:pt idx="0">
                  <c:v>178534.29</c:v>
                </c:pt>
                <c:pt idx="1">
                  <c:v>92428.24000000002</c:v>
                </c:pt>
                <c:pt idx="2">
                  <c:v>83789.920000000013</c:v>
                </c:pt>
              </c:numCache>
            </c:numRef>
          </c:val>
          <c:extLst>
            <c:ext xmlns:c16="http://schemas.microsoft.com/office/drawing/2014/chart" uri="{C3380CC4-5D6E-409C-BE32-E72D297353CC}">
              <c16:uniqueId val="{00000000-69E7-4C07-A463-3DEABFA9EA69}"/>
            </c:ext>
          </c:extLst>
        </c:ser>
        <c:dLbls>
          <c:showLegendKey val="0"/>
          <c:showVal val="0"/>
          <c:showCatName val="0"/>
          <c:showSerName val="0"/>
          <c:showPercent val="0"/>
          <c:showBubbleSize val="0"/>
        </c:dLbls>
        <c:axId val="596877535"/>
        <c:axId val="1294872463"/>
      </c:areaChart>
      <c:catAx>
        <c:axId val="596877535"/>
        <c:scaling>
          <c:orientation val="minMax"/>
        </c:scaling>
        <c:delete val="1"/>
        <c:axPos val="b"/>
        <c:numFmt formatCode="General" sourceLinked="1"/>
        <c:majorTickMark val="out"/>
        <c:minorTickMark val="none"/>
        <c:tickLblPos val="nextTo"/>
        <c:crossAx val="1294872463"/>
        <c:crosses val="autoZero"/>
        <c:auto val="1"/>
        <c:lblAlgn val="ctr"/>
        <c:lblOffset val="100"/>
        <c:noMultiLvlLbl val="0"/>
      </c:catAx>
      <c:valAx>
        <c:axId val="1294872463"/>
        <c:scaling>
          <c:orientation val="minMax"/>
        </c:scaling>
        <c:delete val="1"/>
        <c:axPos val="l"/>
        <c:numFmt formatCode="General" sourceLinked="1"/>
        <c:majorTickMark val="none"/>
        <c:minorTickMark val="none"/>
        <c:tickLblPos val="nextTo"/>
        <c:crossAx val="596877535"/>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4">
  <a:schemeClr val="accent4"/>
</cs:colorStyle>
</file>

<file path=xl/charts/colors2.xml><?xml version="1.0" encoding="utf-8"?>
<cs:colorStyle xmlns:cs="http://schemas.microsoft.com/office/drawing/2012/chartStyle" xmlns:a="http://schemas.openxmlformats.org/drawingml/2006/main" meth="withinLinear" id="17">
  <a:schemeClr val="accent4"/>
</cs:colorStyle>
</file>

<file path=xl/charts/colors3.xml><?xml version="1.0" encoding="utf-8"?>
<cs:colorStyle xmlns:cs="http://schemas.microsoft.com/office/drawing/2012/chartStyle" xmlns:a="http://schemas.openxmlformats.org/drawingml/2006/main" meth="withinLinear" id="17">
  <a:schemeClr val="accent4"/>
</cs:colorStyle>
</file>

<file path=xl/charts/colors4.xml><?xml version="1.0" encoding="utf-8"?>
<cs:colorStyle xmlns:cs="http://schemas.microsoft.com/office/drawing/2012/chartStyle" xmlns:a="http://schemas.openxmlformats.org/drawingml/2006/main" meth="withinLinear" id="17">
  <a:schemeClr val="accent4"/>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220133</xdr:colOff>
      <xdr:row>3</xdr:row>
      <xdr:rowOff>146425</xdr:rowOff>
    </xdr:from>
    <xdr:to>
      <xdr:col>11</xdr:col>
      <xdr:colOff>304800</xdr:colOff>
      <xdr:row>14</xdr:row>
      <xdr:rowOff>101600</xdr:rowOff>
    </xdr:to>
    <xdr:graphicFrame macro="">
      <xdr:nvGraphicFramePr>
        <xdr:cNvPr id="2" name="Chart 1">
          <a:extLst>
            <a:ext uri="{FF2B5EF4-FFF2-40B4-BE49-F238E27FC236}">
              <a16:creationId xmlns:a16="http://schemas.microsoft.com/office/drawing/2014/main" id="{058EC758-6E20-4EAF-8815-E4ACAA0806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254001</xdr:colOff>
      <xdr:row>15</xdr:row>
      <xdr:rowOff>746</xdr:rowOff>
    </xdr:from>
    <xdr:to>
      <xdr:col>18</xdr:col>
      <xdr:colOff>382745</xdr:colOff>
      <xdr:row>29</xdr:row>
      <xdr:rowOff>84666</xdr:rowOff>
    </xdr:to>
    <xdr:graphicFrame macro="">
      <xdr:nvGraphicFramePr>
        <xdr:cNvPr id="7" name="Chart 6">
          <a:extLst>
            <a:ext uri="{FF2B5EF4-FFF2-40B4-BE49-F238E27FC236}">
              <a16:creationId xmlns:a16="http://schemas.microsoft.com/office/drawing/2014/main" id="{1F41BA96-1565-428E-A8D6-DEA78293BA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233679</xdr:colOff>
      <xdr:row>0</xdr:row>
      <xdr:rowOff>84666</xdr:rowOff>
    </xdr:from>
    <xdr:to>
      <xdr:col>8</xdr:col>
      <xdr:colOff>567266</xdr:colOff>
      <xdr:row>3</xdr:row>
      <xdr:rowOff>58419</xdr:rowOff>
    </xdr:to>
    <xdr:sp macro="" textlink="">
      <xdr:nvSpPr>
        <xdr:cNvPr id="8" name="Rectangle 7">
          <a:extLst>
            <a:ext uri="{FF2B5EF4-FFF2-40B4-BE49-F238E27FC236}">
              <a16:creationId xmlns:a16="http://schemas.microsoft.com/office/drawing/2014/main" id="{28CBDEAF-1460-AC75-B28F-623C9972C99B}"/>
            </a:ext>
          </a:extLst>
        </xdr:cNvPr>
        <xdr:cNvSpPr/>
      </xdr:nvSpPr>
      <xdr:spPr>
        <a:xfrm>
          <a:off x="2672079" y="84666"/>
          <a:ext cx="2771987" cy="532553"/>
        </a:xfrm>
        <a:prstGeom prst="rect">
          <a:avLst/>
        </a:prstGeom>
        <a:solidFill>
          <a:schemeClr val="accent4">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r>
            <a:rPr lang="en-IN" sz="1600" b="1" cap="none" spc="0">
              <a:ln w="0"/>
              <a:solidFill>
                <a:schemeClr val="tx1"/>
              </a:solidFill>
              <a:effectLst>
                <a:outerShdw blurRad="38100" dist="19050" dir="2700000" algn="tl" rotWithShape="0">
                  <a:schemeClr val="dk1">
                    <a:alpha val="40000"/>
                  </a:schemeClr>
                </a:outerShdw>
              </a:effectLst>
            </a:rPr>
            <a:t>Total Revenue : </a:t>
          </a:r>
          <a:r>
            <a:rPr lang="en-IN" sz="1600" b="1" i="0" u="none" strike="noStrike">
              <a:solidFill>
                <a:schemeClr val="accent4">
                  <a:lumMod val="50000"/>
                </a:schemeClr>
              </a:solidFill>
              <a:effectLst/>
              <a:latin typeface="Calibri" panose="020F0502020204030204" pitchFamily="34" charset="0"/>
            </a:rPr>
            <a:t>572611.4</a:t>
          </a:r>
          <a:r>
            <a:rPr lang="en-IN" sz="1600">
              <a:solidFill>
                <a:schemeClr val="accent4">
                  <a:lumMod val="50000"/>
                </a:schemeClr>
              </a:solidFill>
              <a:effectLst/>
            </a:rPr>
            <a:t> </a:t>
          </a:r>
          <a:endParaRPr lang="en-IN" sz="1600" b="1" cap="none" spc="0">
            <a:ln w="0"/>
            <a:solidFill>
              <a:schemeClr val="accent4">
                <a:lumMod val="50000"/>
              </a:schemeClr>
            </a:solidFill>
            <a:effectLst>
              <a:outerShdw blurRad="38100" dist="19050" dir="2700000" algn="tl" rotWithShape="0">
                <a:schemeClr val="dk1">
                  <a:alpha val="40000"/>
                </a:schemeClr>
              </a:outerShdw>
            </a:effectLst>
          </a:endParaRPr>
        </a:p>
      </xdr:txBody>
    </xdr:sp>
    <xdr:clientData/>
  </xdr:twoCellAnchor>
  <xdr:twoCellAnchor>
    <xdr:from>
      <xdr:col>9</xdr:col>
      <xdr:colOff>127000</xdr:colOff>
      <xdr:row>0</xdr:row>
      <xdr:rowOff>101601</xdr:rowOff>
    </xdr:from>
    <xdr:to>
      <xdr:col>14</xdr:col>
      <xdr:colOff>169333</xdr:colOff>
      <xdr:row>3</xdr:row>
      <xdr:rowOff>75354</xdr:rowOff>
    </xdr:to>
    <xdr:sp macro="" textlink="">
      <xdr:nvSpPr>
        <xdr:cNvPr id="9" name="Rectangle 8">
          <a:extLst>
            <a:ext uri="{FF2B5EF4-FFF2-40B4-BE49-F238E27FC236}">
              <a16:creationId xmlns:a16="http://schemas.microsoft.com/office/drawing/2014/main" id="{22A3F83F-A1CD-4BAE-9D1A-5867E9797A0B}"/>
            </a:ext>
          </a:extLst>
        </xdr:cNvPr>
        <xdr:cNvSpPr/>
      </xdr:nvSpPr>
      <xdr:spPr>
        <a:xfrm>
          <a:off x="5613400" y="101601"/>
          <a:ext cx="3090333" cy="532553"/>
        </a:xfrm>
        <a:prstGeom prst="rect">
          <a:avLst/>
        </a:prstGeom>
        <a:solidFill>
          <a:schemeClr val="accent4">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r>
            <a:rPr lang="en-IN" sz="1600" b="1" cap="none" spc="0">
              <a:ln w="0"/>
              <a:solidFill>
                <a:schemeClr val="tx1"/>
              </a:solidFill>
              <a:effectLst>
                <a:outerShdw blurRad="38100" dist="19050" dir="2700000" algn="tl" rotWithShape="0">
                  <a:schemeClr val="dk1">
                    <a:alpha val="40000"/>
                  </a:schemeClr>
                </a:outerShdw>
              </a:effectLst>
            </a:rPr>
            <a:t>Total Unit</a:t>
          </a:r>
          <a:r>
            <a:rPr lang="en-IN" sz="1600" b="1" cap="none" spc="0" baseline="0">
              <a:ln w="0"/>
              <a:solidFill>
                <a:schemeClr val="tx1"/>
              </a:solidFill>
              <a:effectLst>
                <a:outerShdw blurRad="38100" dist="19050" dir="2700000" algn="tl" rotWithShape="0">
                  <a:schemeClr val="dk1">
                    <a:alpha val="40000"/>
                  </a:schemeClr>
                </a:outerShdw>
              </a:effectLst>
            </a:rPr>
            <a:t> Sold</a:t>
          </a:r>
          <a:r>
            <a:rPr lang="en-IN" sz="1600" b="1" cap="none" spc="0">
              <a:ln w="0"/>
              <a:solidFill>
                <a:schemeClr val="tx1"/>
              </a:solidFill>
              <a:effectLst>
                <a:outerShdw blurRad="38100" dist="19050" dir="2700000" algn="tl" rotWithShape="0">
                  <a:schemeClr val="dk1">
                    <a:alpha val="40000"/>
                  </a:schemeClr>
                </a:outerShdw>
              </a:effectLst>
            </a:rPr>
            <a:t> : </a:t>
          </a:r>
          <a:r>
            <a:rPr lang="en-IN" sz="1600" b="1" i="0" u="none" strike="noStrike">
              <a:solidFill>
                <a:schemeClr val="accent4">
                  <a:lumMod val="50000"/>
                </a:schemeClr>
              </a:solidFill>
              <a:effectLst/>
              <a:latin typeface="Calibri" panose="020F0502020204030204" pitchFamily="34" charset="0"/>
            </a:rPr>
            <a:t>6370</a:t>
          </a:r>
          <a:r>
            <a:rPr lang="en-IN" sz="1600" b="1" i="0" u="none" strike="noStrike" baseline="0">
              <a:solidFill>
                <a:schemeClr val="accent4">
                  <a:lumMod val="50000"/>
                </a:schemeClr>
              </a:solidFill>
              <a:effectLst/>
              <a:latin typeface="Calibri" panose="020F0502020204030204" pitchFamily="34" charset="0"/>
            </a:rPr>
            <a:t> Units</a:t>
          </a:r>
        </a:p>
        <a:p>
          <a:pPr algn="ctr"/>
          <a:endParaRPr lang="en-IN" sz="1600" b="1" i="0" u="none" strike="noStrike">
            <a:solidFill>
              <a:schemeClr val="accent4">
                <a:lumMod val="50000"/>
              </a:schemeClr>
            </a:solidFill>
            <a:effectLst/>
            <a:latin typeface="Calibri" panose="020F0502020204030204" pitchFamily="34" charset="0"/>
          </a:endParaRPr>
        </a:p>
      </xdr:txBody>
    </xdr:sp>
    <xdr:clientData/>
  </xdr:twoCellAnchor>
  <xdr:twoCellAnchor>
    <xdr:from>
      <xdr:col>14</xdr:col>
      <xdr:colOff>338667</xdr:colOff>
      <xdr:row>0</xdr:row>
      <xdr:rowOff>93133</xdr:rowOff>
    </xdr:from>
    <xdr:to>
      <xdr:col>18</xdr:col>
      <xdr:colOff>524933</xdr:colOff>
      <xdr:row>3</xdr:row>
      <xdr:rowOff>66886</xdr:rowOff>
    </xdr:to>
    <xdr:sp macro="" textlink="">
      <xdr:nvSpPr>
        <xdr:cNvPr id="10" name="Rectangle 9">
          <a:extLst>
            <a:ext uri="{FF2B5EF4-FFF2-40B4-BE49-F238E27FC236}">
              <a16:creationId xmlns:a16="http://schemas.microsoft.com/office/drawing/2014/main" id="{0536FFCA-F9CB-49FB-9597-F6C320545D6F}"/>
            </a:ext>
          </a:extLst>
        </xdr:cNvPr>
        <xdr:cNvSpPr/>
      </xdr:nvSpPr>
      <xdr:spPr>
        <a:xfrm>
          <a:off x="8873067" y="93133"/>
          <a:ext cx="2624666" cy="532553"/>
        </a:xfrm>
        <a:prstGeom prst="rect">
          <a:avLst/>
        </a:prstGeom>
        <a:solidFill>
          <a:schemeClr val="accent4">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r>
            <a:rPr lang="en-IN" sz="1600" b="1" cap="none" spc="0">
              <a:ln w="0"/>
              <a:solidFill>
                <a:schemeClr val="tx1"/>
              </a:solidFill>
              <a:effectLst>
                <a:outerShdw blurRad="38100" dist="19050" dir="2700000" algn="tl" rotWithShape="0">
                  <a:schemeClr val="dk1">
                    <a:alpha val="40000"/>
                  </a:schemeClr>
                </a:outerShdw>
              </a:effectLst>
            </a:rPr>
            <a:t>Gross</a:t>
          </a:r>
          <a:r>
            <a:rPr lang="en-IN" sz="1600" b="1" cap="none" spc="0" baseline="0">
              <a:ln w="0"/>
              <a:solidFill>
                <a:schemeClr val="tx1"/>
              </a:solidFill>
              <a:effectLst>
                <a:outerShdw blurRad="38100" dist="19050" dir="2700000" algn="tl" rotWithShape="0">
                  <a:schemeClr val="dk1">
                    <a:alpha val="40000"/>
                  </a:schemeClr>
                </a:outerShdw>
              </a:effectLst>
            </a:rPr>
            <a:t> Profit</a:t>
          </a:r>
          <a:r>
            <a:rPr lang="en-IN" sz="1600" b="1" cap="none" spc="0">
              <a:ln w="0"/>
              <a:solidFill>
                <a:schemeClr val="tx1"/>
              </a:solidFill>
              <a:effectLst>
                <a:outerShdw blurRad="38100" dist="19050" dir="2700000" algn="tl" rotWithShape="0">
                  <a:schemeClr val="dk1">
                    <a:alpha val="40000"/>
                  </a:schemeClr>
                </a:outerShdw>
              </a:effectLst>
            </a:rPr>
            <a:t> : </a:t>
          </a:r>
          <a:r>
            <a:rPr lang="en-IN" sz="1600" b="1" i="0" u="none" strike="noStrike">
              <a:solidFill>
                <a:schemeClr val="accent4">
                  <a:lumMod val="50000"/>
                </a:schemeClr>
              </a:solidFill>
              <a:effectLst/>
              <a:latin typeface="Calibri" panose="020F0502020204030204" pitchFamily="34" charset="0"/>
            </a:rPr>
            <a:t>354752.5</a:t>
          </a:r>
          <a:r>
            <a:rPr lang="en-IN" sz="1600">
              <a:effectLst/>
            </a:rPr>
            <a:t> </a:t>
          </a:r>
          <a:endParaRPr lang="en-IN" sz="1600" b="1"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editAs="oneCell">
    <xdr:from>
      <xdr:col>0</xdr:col>
      <xdr:colOff>76171</xdr:colOff>
      <xdr:row>11</xdr:row>
      <xdr:rowOff>4993</xdr:rowOff>
    </xdr:from>
    <xdr:to>
      <xdr:col>4</xdr:col>
      <xdr:colOff>177801</xdr:colOff>
      <xdr:row>20</xdr:row>
      <xdr:rowOff>110067</xdr:rowOff>
    </xdr:to>
    <mc:AlternateContent xmlns:mc="http://schemas.openxmlformats.org/markup-compatibility/2006">
      <mc:Choice xmlns:a14="http://schemas.microsoft.com/office/drawing/2010/main" Requires="a14">
        <xdr:graphicFrame macro="">
          <xdr:nvGraphicFramePr>
            <xdr:cNvPr id="15" name="Region">
              <a:extLst>
                <a:ext uri="{FF2B5EF4-FFF2-40B4-BE49-F238E27FC236}">
                  <a16:creationId xmlns:a16="http://schemas.microsoft.com/office/drawing/2014/main" id="{474E9CE0-06A1-3B5E-6AFD-F1E25F53691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76171" y="2053926"/>
              <a:ext cx="2540030" cy="17814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67683</xdr:colOff>
      <xdr:row>21</xdr:row>
      <xdr:rowOff>25400</xdr:rowOff>
    </xdr:from>
    <xdr:to>
      <xdr:col>4</xdr:col>
      <xdr:colOff>186267</xdr:colOff>
      <xdr:row>29</xdr:row>
      <xdr:rowOff>110066</xdr:rowOff>
    </xdr:to>
    <mc:AlternateContent xmlns:mc="http://schemas.openxmlformats.org/markup-compatibility/2006">
      <mc:Choice xmlns:tsle="http://schemas.microsoft.com/office/drawing/2012/timeslicer" Requires="tsle">
        <xdr:graphicFrame macro="">
          <xdr:nvGraphicFramePr>
            <xdr:cNvPr id="17" name="True_Date">
              <a:extLst>
                <a:ext uri="{FF2B5EF4-FFF2-40B4-BE49-F238E27FC236}">
                  <a16:creationId xmlns:a16="http://schemas.microsoft.com/office/drawing/2014/main" id="{D84E9B1A-A47E-49BE-1083-2FAE451FAEF3}"/>
                </a:ext>
              </a:extLst>
            </xdr:cNvPr>
            <xdr:cNvGraphicFramePr/>
          </xdr:nvGraphicFramePr>
          <xdr:xfrm>
            <a:off x="0" y="0"/>
            <a:ext cx="0" cy="0"/>
          </xdr:xfrm>
          <a:graphic>
            <a:graphicData uri="http://schemas.microsoft.com/office/drawing/2012/timeslicer">
              <tsle:timeslicer xmlns:tsle="http://schemas.microsoft.com/office/drawing/2012/timeslicer" name="True_Date"/>
            </a:graphicData>
          </a:graphic>
        </xdr:graphicFrame>
      </mc:Choice>
      <mc:Fallback>
        <xdr:sp macro="" textlink="">
          <xdr:nvSpPr>
            <xdr:cNvPr id="0" name=""/>
            <xdr:cNvSpPr>
              <a:spLocks noTextEdit="1"/>
            </xdr:cNvSpPr>
          </xdr:nvSpPr>
          <xdr:spPr>
            <a:xfrm>
              <a:off x="67683" y="3937000"/>
              <a:ext cx="2556984" cy="1574799"/>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18</xdr:col>
      <xdr:colOff>474134</xdr:colOff>
      <xdr:row>6</xdr:row>
      <xdr:rowOff>42333</xdr:rowOff>
    </xdr:from>
    <xdr:to>
      <xdr:col>23</xdr:col>
      <xdr:colOff>220134</xdr:colOff>
      <xdr:row>29</xdr:row>
      <xdr:rowOff>67734</xdr:rowOff>
    </xdr:to>
    <xdr:graphicFrame macro="">
      <xdr:nvGraphicFramePr>
        <xdr:cNvPr id="18" name="Chart 17">
          <a:extLst>
            <a:ext uri="{FF2B5EF4-FFF2-40B4-BE49-F238E27FC236}">
              <a16:creationId xmlns:a16="http://schemas.microsoft.com/office/drawing/2014/main" id="{C160C55B-1DD7-4FE2-8AC1-DF7D95CE85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397933</xdr:colOff>
      <xdr:row>3</xdr:row>
      <xdr:rowOff>169333</xdr:rowOff>
    </xdr:from>
    <xdr:to>
      <xdr:col>18</xdr:col>
      <xdr:colOff>431799</xdr:colOff>
      <xdr:row>14</xdr:row>
      <xdr:rowOff>101600</xdr:rowOff>
    </xdr:to>
    <xdr:graphicFrame macro="">
      <xdr:nvGraphicFramePr>
        <xdr:cNvPr id="14" name="Chart 13">
          <a:extLst>
            <a:ext uri="{FF2B5EF4-FFF2-40B4-BE49-F238E27FC236}">
              <a16:creationId xmlns:a16="http://schemas.microsoft.com/office/drawing/2014/main" id="{91B6BAB6-17BD-3692-79A0-03357259B0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135467</xdr:colOff>
      <xdr:row>0</xdr:row>
      <xdr:rowOff>101600</xdr:rowOff>
    </xdr:from>
    <xdr:to>
      <xdr:col>4</xdr:col>
      <xdr:colOff>127000</xdr:colOff>
      <xdr:row>10</xdr:row>
      <xdr:rowOff>84666</xdr:rowOff>
    </xdr:to>
    <xdr:sp macro="" textlink="">
      <xdr:nvSpPr>
        <xdr:cNvPr id="19" name="Rectangle 18">
          <a:extLst>
            <a:ext uri="{FF2B5EF4-FFF2-40B4-BE49-F238E27FC236}">
              <a16:creationId xmlns:a16="http://schemas.microsoft.com/office/drawing/2014/main" id="{D7C862AB-CEA6-CD8E-02CF-1C09D4193CAD}"/>
            </a:ext>
          </a:extLst>
        </xdr:cNvPr>
        <xdr:cNvSpPr/>
      </xdr:nvSpPr>
      <xdr:spPr>
        <a:xfrm>
          <a:off x="135467" y="101600"/>
          <a:ext cx="2429933" cy="1845733"/>
        </a:xfrm>
        <a:prstGeom prst="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ctr"/>
        <a:lstStyle/>
        <a:p>
          <a:pPr algn="l"/>
          <a:r>
            <a:rPr lang="en-IN" sz="2600" b="1" cap="none" spc="0">
              <a:ln w="12700" cmpd="sng">
                <a:solidFill>
                  <a:schemeClr val="accent4"/>
                </a:solidFill>
                <a:prstDash val="solid"/>
              </a:ln>
              <a:gradFill>
                <a:gsLst>
                  <a:gs pos="0">
                    <a:schemeClr val="accent4"/>
                  </a:gs>
                  <a:gs pos="4000">
                    <a:schemeClr val="accent4">
                      <a:lumMod val="60000"/>
                      <a:lumOff val="40000"/>
                    </a:schemeClr>
                  </a:gs>
                  <a:gs pos="87000">
                    <a:schemeClr val="accent4">
                      <a:lumMod val="20000"/>
                      <a:lumOff val="80000"/>
                    </a:schemeClr>
                  </a:gs>
                </a:gsLst>
                <a:lin ang="5400000"/>
              </a:gradFill>
              <a:effectLst/>
            </a:rPr>
            <a:t>SALES &amp;</a:t>
          </a:r>
          <a:r>
            <a:rPr lang="en-IN" sz="2600" b="1" cap="none" spc="0" baseline="0">
              <a:ln w="12700" cmpd="sng">
                <a:solidFill>
                  <a:schemeClr val="accent4"/>
                </a:solidFill>
                <a:prstDash val="solid"/>
              </a:ln>
              <a:gradFill>
                <a:gsLst>
                  <a:gs pos="0">
                    <a:schemeClr val="accent4"/>
                  </a:gs>
                  <a:gs pos="4000">
                    <a:schemeClr val="accent4">
                      <a:lumMod val="60000"/>
                      <a:lumOff val="40000"/>
                    </a:schemeClr>
                  </a:gs>
                  <a:gs pos="87000">
                    <a:schemeClr val="accent4">
                      <a:lumMod val="20000"/>
                      <a:lumOff val="80000"/>
                    </a:schemeClr>
                  </a:gs>
                </a:gsLst>
                <a:lin ang="5400000"/>
              </a:gradFill>
              <a:effectLst/>
            </a:rPr>
            <a:t> INVENTORY PERFORMANCE</a:t>
          </a:r>
        </a:p>
        <a:p>
          <a:pPr algn="ctr"/>
          <a:r>
            <a:rPr lang="en-IN" sz="1600" b="0" cap="none" spc="0" baseline="0">
              <a:ln w="12700" cmpd="sng">
                <a:solidFill>
                  <a:schemeClr val="accent4"/>
                </a:solidFill>
                <a:prstDash val="solid"/>
              </a:ln>
              <a:solidFill>
                <a:schemeClr val="tx1"/>
              </a:solidFill>
              <a:effectLst/>
            </a:rPr>
            <a:t>Subtitle: Revenue, Sales Trends &amp; Stock Monitoring</a:t>
          </a:r>
          <a:endParaRPr lang="en-IN" sz="1600" b="0" cap="none" spc="0">
            <a:ln w="12700" cmpd="sng">
              <a:solidFill>
                <a:schemeClr val="accent4"/>
              </a:solidFill>
              <a:prstDash val="solid"/>
            </a:ln>
            <a:solidFill>
              <a:schemeClr val="tx1"/>
            </a:solidFill>
            <a:effectLst/>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yogita gupta" refreshedDate="46305.928287499999" createdVersion="8" refreshedVersion="8" minRefreshableVersion="3" recordCount="850" xr:uid="{73BC429C-08F4-41FE-8AB3-A7C1CA56FBFF}">
  <cacheSource type="worksheet">
    <worksheetSource name="cleaned_sales_data_"/>
  </cacheSource>
  <cacheFields count="10">
    <cacheField name="Transaction ID" numFmtId="0">
      <sharedItems/>
    </cacheField>
    <cacheField name="Date" numFmtId="0">
      <sharedItems/>
    </cacheField>
    <cacheField name="Product ID" numFmtId="0">
      <sharedItems count="30">
        <s v="PROD-027"/>
        <s v="PROD-002"/>
        <s v="PROD-003"/>
        <s v="PROD-020"/>
        <s v="PROD-010"/>
        <s v="PROD-007"/>
        <s v="PROD-030"/>
        <s v="PROD-011"/>
        <s v="PROD-014"/>
        <s v="PROD-029"/>
        <s v="PROD-023"/>
        <s v="PROD-017"/>
        <s v="PROD-019"/>
        <s v="PROD-024"/>
        <s v="PROD-006"/>
        <s v="PROD-013"/>
        <s v="PROD-016"/>
        <s v="PROD-025"/>
        <s v="PROD-028"/>
        <s v="PROD-018"/>
        <s v="PROD-012"/>
        <s v="PROD-022"/>
        <s v="PROD-008"/>
        <s v="PROD-009"/>
        <s v="PROD-004"/>
        <s v="PROD-021"/>
        <s v="PROD-001"/>
        <s v="PROD-015"/>
        <s v="PROD-026"/>
        <s v="PROD-005"/>
      </sharedItems>
    </cacheField>
    <cacheField name="Quantity Sold" numFmtId="1">
      <sharedItems containsSemiMixedTypes="0" containsString="0" containsNumber="1" containsInteger="1" minValue="1" maxValue="14"/>
    </cacheField>
    <cacheField name="Region" numFmtId="0">
      <sharedItems count="4">
        <s v="Asia-Pacific"/>
        <s v="Latin America"/>
        <s v="Europe"/>
        <s v="North America"/>
      </sharedItems>
    </cacheField>
    <cacheField name="Sales Channel" numFmtId="0">
      <sharedItems count="3">
        <s v="Wholesale"/>
        <s v="In-Store"/>
        <s v="Online"/>
      </sharedItems>
    </cacheField>
    <cacheField name="True_Date" numFmtId="14">
      <sharedItems containsSemiMixedTypes="0" containsNonDate="0" containsDate="1" containsString="0" minDate="2026-01-01T00:00:00" maxDate="2026-10-08T00:00:00" count="250">
        <d v="2026-04-13T00:00:00"/>
        <d v="2026-09-01T00:00:00"/>
        <d v="2026-07-21T00:00:00"/>
        <d v="2026-02-10T00:00:00"/>
        <d v="2026-08-19T00:00:00"/>
        <d v="2026-09-16T00:00:00"/>
        <d v="2026-05-06T00:00:00"/>
        <d v="2026-05-08T00:00:00"/>
        <d v="2026-04-14T00:00:00"/>
        <d v="2026-08-18T00:00:00"/>
        <d v="2026-09-10T00:00:00"/>
        <d v="2026-02-05T00:00:00"/>
        <d v="2026-05-24T00:00:00"/>
        <d v="2026-07-04T00:00:00"/>
        <d v="2026-09-15T00:00:00"/>
        <d v="2026-04-15T00:00:00"/>
        <d v="2026-07-06T00:00:00"/>
        <d v="2026-08-03T00:00:00"/>
        <d v="2026-09-09T00:00:00"/>
        <d v="2026-08-01T00:00:00"/>
        <d v="2026-06-26T00:00:00"/>
        <d v="2026-03-13T00:00:00"/>
        <d v="2026-09-06T00:00:00"/>
        <d v="2026-03-02T00:00:00"/>
        <d v="2026-05-30T00:00:00"/>
        <d v="2026-04-28T00:00:00"/>
        <d v="2026-09-22T00:00:00"/>
        <d v="2026-05-12T00:00:00"/>
        <d v="2026-06-06T00:00:00"/>
        <d v="2026-03-10T00:00:00"/>
        <d v="2026-08-02T00:00:00"/>
        <d v="2026-01-17T00:00:00"/>
        <d v="2026-07-30T00:00:00"/>
        <d v="2026-06-27T00:00:00"/>
        <d v="2026-01-14T00:00:00"/>
        <d v="2026-05-14T00:00:00"/>
        <d v="2026-09-07T00:00:00"/>
        <d v="2026-02-13T00:00:00"/>
        <d v="2026-04-27T00:00:00"/>
        <d v="2026-04-18T00:00:00"/>
        <d v="2026-06-02T00:00:00"/>
        <d v="2026-04-17T00:00:00"/>
        <d v="2026-04-08T00:00:00"/>
        <d v="2026-04-25T00:00:00"/>
        <d v="2026-06-09T00:00:00"/>
        <d v="2026-10-05T00:00:00"/>
        <d v="2026-04-09T00:00:00"/>
        <d v="2026-10-07T00:00:00"/>
        <d v="2026-08-31T00:00:00"/>
        <d v="2026-07-23T00:00:00"/>
        <d v="2026-08-04T00:00:00"/>
        <d v="2026-04-24T00:00:00"/>
        <d v="2026-04-12T00:00:00"/>
        <d v="2026-10-02T00:00:00"/>
        <d v="2026-06-21T00:00:00"/>
        <d v="2026-08-30T00:00:00"/>
        <d v="2026-07-19T00:00:00"/>
        <d v="2026-06-29T00:00:00"/>
        <d v="2026-07-25T00:00:00"/>
        <d v="2026-05-04T00:00:00"/>
        <d v="2026-07-10T00:00:00"/>
        <d v="2026-09-04T00:00:00"/>
        <d v="2026-06-13T00:00:00"/>
        <d v="2026-02-01T00:00:00"/>
        <d v="2026-03-29T00:00:00"/>
        <d v="2026-03-07T00:00:00"/>
        <d v="2026-06-22T00:00:00"/>
        <d v="2026-09-11T00:00:00"/>
        <d v="2026-01-31T00:00:00"/>
        <d v="2026-06-01T00:00:00"/>
        <d v="2026-05-18T00:00:00"/>
        <d v="2026-01-08T00:00:00"/>
        <d v="2026-06-03T00:00:00"/>
        <d v="2026-03-16T00:00:00"/>
        <d v="2026-09-27T00:00:00"/>
        <d v="2026-05-22T00:00:00"/>
        <d v="2026-04-16T00:00:00"/>
        <d v="2026-09-23T00:00:00"/>
        <d v="2026-10-04T00:00:00"/>
        <d v="2026-02-16T00:00:00"/>
        <d v="2026-08-22T00:00:00"/>
        <d v="2026-02-11T00:00:00"/>
        <d v="2026-05-25T00:00:00"/>
        <d v="2026-07-27T00:00:00"/>
        <d v="2026-07-07T00:00:00"/>
        <d v="2026-09-21T00:00:00"/>
        <d v="2026-04-10T00:00:00"/>
        <d v="2026-01-28T00:00:00"/>
        <d v="2026-10-01T00:00:00"/>
        <d v="2026-05-15T00:00:00"/>
        <d v="2026-02-28T00:00:00"/>
        <d v="2026-01-05T00:00:00"/>
        <d v="2026-06-05T00:00:00"/>
        <d v="2026-02-08T00:00:00"/>
        <d v="2026-06-04T00:00:00"/>
        <d v="2026-02-12T00:00:00"/>
        <d v="2026-03-06T00:00:00"/>
        <d v="2026-02-23T00:00:00"/>
        <d v="2026-01-16T00:00:00"/>
        <d v="2026-05-13T00:00:00"/>
        <d v="2026-03-12T00:00:00"/>
        <d v="2026-01-20T00:00:00"/>
        <d v="2026-03-22T00:00:00"/>
        <d v="2026-04-01T00:00:00"/>
        <d v="2026-01-25T00:00:00"/>
        <d v="2026-05-11T00:00:00"/>
        <d v="2026-03-25T00:00:00"/>
        <d v="2026-08-10T00:00:00"/>
        <d v="2026-08-09T00:00:00"/>
        <d v="2026-09-30T00:00:00"/>
        <d v="2026-05-17T00:00:00"/>
        <d v="2026-06-25T00:00:00"/>
        <d v="2026-08-08T00:00:00"/>
        <d v="2026-01-13T00:00:00"/>
        <d v="2026-06-20T00:00:00"/>
        <d v="2026-01-22T00:00:00"/>
        <d v="2026-05-07T00:00:00"/>
        <d v="2026-09-03T00:00:00"/>
        <d v="2026-02-07T00:00:00"/>
        <d v="2026-07-14T00:00:00"/>
        <d v="2026-03-30T00:00:00"/>
        <d v="2026-01-15T00:00:00"/>
        <d v="2026-10-03T00:00:00"/>
        <d v="2026-01-11T00:00:00"/>
        <d v="2026-04-26T00:00:00"/>
        <d v="2026-03-28T00:00:00"/>
        <d v="2026-04-05T00:00:00"/>
        <d v="2026-05-03T00:00:00"/>
        <d v="2026-04-02T00:00:00"/>
        <d v="2026-02-06T00:00:00"/>
        <d v="2026-06-07T00:00:00"/>
        <d v="2026-09-13T00:00:00"/>
        <d v="2026-07-28T00:00:00"/>
        <d v="2026-08-29T00:00:00"/>
        <d v="2026-04-07T00:00:00"/>
        <d v="2026-07-15T00:00:00"/>
        <d v="2026-06-28T00:00:00"/>
        <d v="2026-08-27T00:00:00"/>
        <d v="2026-06-18T00:00:00"/>
        <d v="2026-01-19T00:00:00"/>
        <d v="2026-05-09T00:00:00"/>
        <d v="2026-05-20T00:00:00"/>
        <d v="2026-07-11T00:00:00"/>
        <d v="2026-09-24T00:00:00"/>
        <d v="2026-05-10T00:00:00"/>
        <d v="2026-07-05T00:00:00"/>
        <d v="2026-09-12T00:00:00"/>
        <d v="2026-03-31T00:00:00"/>
        <d v="2026-07-13T00:00:00"/>
        <d v="2026-05-21T00:00:00"/>
        <d v="2026-02-24T00:00:00"/>
        <d v="2026-01-04T00:00:00"/>
        <d v="2026-04-21T00:00:00"/>
        <d v="2026-08-06T00:00:00"/>
        <d v="2026-03-14T00:00:00"/>
        <d v="2026-02-22T00:00:00"/>
        <d v="2026-03-03T00:00:00"/>
        <d v="2026-01-03T00:00:00"/>
        <d v="2026-03-17T00:00:00"/>
        <d v="2026-06-15T00:00:00"/>
        <d v="2026-05-31T00:00:00"/>
        <d v="2026-07-29T00:00:00"/>
        <d v="2026-04-22T00:00:00"/>
        <d v="2026-05-01T00:00:00"/>
        <d v="2026-08-23T00:00:00"/>
        <d v="2026-08-11T00:00:00"/>
        <d v="2026-02-21T00:00:00"/>
        <d v="2026-04-23T00:00:00"/>
        <d v="2026-03-27T00:00:00"/>
        <d v="2026-05-19T00:00:00"/>
        <d v="2026-01-29T00:00:00"/>
        <d v="2026-06-17T00:00:00"/>
        <d v="2026-04-11T00:00:00"/>
        <d v="2026-04-20T00:00:00"/>
        <d v="2026-07-24T00:00:00"/>
        <d v="2026-04-04T00:00:00"/>
        <d v="2026-07-26T00:00:00"/>
        <d v="2026-03-15T00:00:00"/>
        <d v="2026-03-01T00:00:00"/>
        <d v="2026-09-28T00:00:00"/>
        <d v="2026-05-02T00:00:00"/>
        <d v="2026-08-14T00:00:00"/>
        <d v="2026-01-10T00:00:00"/>
        <d v="2026-05-16T00:00:00"/>
        <d v="2026-09-26T00:00:00"/>
        <d v="2026-09-29T00:00:00"/>
        <d v="2026-08-13T00:00:00"/>
        <d v="2026-09-02T00:00:00"/>
        <d v="2026-03-18T00:00:00"/>
        <d v="2026-10-06T00:00:00"/>
        <d v="2026-01-12T00:00:00"/>
        <d v="2026-05-05T00:00:00"/>
        <d v="2026-03-26T00:00:00"/>
        <d v="2026-03-09T00:00:00"/>
        <d v="2026-09-25T00:00:00"/>
        <d v="2026-07-16T00:00:00"/>
        <d v="2026-02-04T00:00:00"/>
        <d v="2026-02-14T00:00:00"/>
        <d v="2026-02-09T00:00:00"/>
        <d v="2026-02-20T00:00:00"/>
        <d v="2026-03-08T00:00:00"/>
        <d v="2026-04-19T00:00:00"/>
        <d v="2026-01-06T00:00:00"/>
        <d v="2026-01-21T00:00:00"/>
        <d v="2026-02-18T00:00:00"/>
        <d v="2026-04-30T00:00:00"/>
        <d v="2026-05-29T00:00:00"/>
        <d v="2026-08-21T00:00:00"/>
        <d v="2026-06-24T00:00:00"/>
        <d v="2026-09-14T00:00:00"/>
        <d v="2026-07-20T00:00:00"/>
        <d v="2026-09-08T00:00:00"/>
        <d v="2026-08-16T00:00:00"/>
        <d v="2026-01-23T00:00:00"/>
        <d v="2026-07-22T00:00:00"/>
        <d v="2026-09-20T00:00:00"/>
        <d v="2026-06-11T00:00:00"/>
        <d v="2026-05-28T00:00:00"/>
        <d v="2026-03-19T00:00:00"/>
        <d v="2026-06-12T00:00:00"/>
        <d v="2026-09-19T00:00:00"/>
        <d v="2026-02-15T00:00:00"/>
        <d v="2026-08-26T00:00:00"/>
        <d v="2026-02-03T00:00:00"/>
        <d v="2026-01-07T00:00:00"/>
        <d v="2026-06-14T00:00:00"/>
        <d v="2026-03-23T00:00:00"/>
        <d v="2026-07-18T00:00:00"/>
        <d v="2026-02-19T00:00:00"/>
        <d v="2026-05-23T00:00:00"/>
        <d v="2026-05-27T00:00:00"/>
        <d v="2026-08-12T00:00:00"/>
        <d v="2026-07-31T00:00:00"/>
        <d v="2026-02-26T00:00:00"/>
        <d v="2026-04-06T00:00:00"/>
        <d v="2026-08-20T00:00:00"/>
        <d v="2026-09-18T00:00:00"/>
        <d v="2026-03-24T00:00:00"/>
        <d v="2026-01-02T00:00:00"/>
        <d v="2026-01-24T00:00:00"/>
        <d v="2026-08-07T00:00:00"/>
        <d v="2026-03-11T00:00:00"/>
        <d v="2026-01-01T00:00:00"/>
        <d v="2026-01-26T00:00:00"/>
        <d v="2026-07-03T00:00:00"/>
        <d v="2026-06-19T00:00:00"/>
        <d v="2026-08-05T00:00:00"/>
        <d v="2026-08-24T00:00:00"/>
        <d v="2026-06-30T00:00:00"/>
        <d v="2026-06-08T00:00:00"/>
      </sharedItems>
    </cacheField>
    <cacheField name="REVENUE" numFmtId="0">
      <sharedItems containsSemiMixedTypes="0" containsString="0" containsNumber="1" minValue="8.5" maxValue="6986"/>
    </cacheField>
    <cacheField name="Month" numFmtId="14">
      <sharedItems containsSemiMixedTypes="0" containsNonDate="0" containsDate="1" containsString="0" minDate="2026-01-01T00:00:00" maxDate="2026-10-02T00:00:00"/>
    </cacheField>
    <cacheField name="Month field" numFmtId="0">
      <sharedItems count="10">
        <s v="Apr 2026"/>
        <s v="Sep 2026"/>
        <s v="Jul 2026"/>
        <s v="Feb 2026"/>
        <s v="Aug 2026"/>
        <s v="May 2026"/>
        <s v="Jun 2026"/>
        <s v="Mar 2026"/>
        <s v="Jan 2026"/>
        <s v="Oct 2026"/>
      </sharedItems>
    </cacheField>
  </cacheFields>
  <extLst>
    <ext xmlns:x14="http://schemas.microsoft.com/office/spreadsheetml/2009/9/main" uri="{725AE2AE-9491-48be-B2B4-4EB974FC3084}">
      <x14:pivotCacheDefinition pivotCacheId="1054808178"/>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yogita gupta" refreshedDate="46305.928288194445" createdVersion="8" refreshedVersion="8" minRefreshableVersion="3" recordCount="30" xr:uid="{E1BA56B5-93B3-452A-8ABF-8DACB6CCE25B}">
  <cacheSource type="worksheet">
    <worksheetSource name="Inventry_Master_1"/>
  </cacheSource>
  <cacheFields count="12">
    <cacheField name="Product ID" numFmtId="0">
      <sharedItems/>
    </cacheField>
    <cacheField name="Product Name" numFmtId="0">
      <sharedItems count="30">
        <s v="Apex Wireless Mouse"/>
        <s v="Ultrawide 34In Monitor"/>
        <s v="Mechanical Keyboard"/>
        <s v="Aluminum Laptop Stand"/>
        <s v="Noise Cancelling Headphones"/>
        <s v="Hd Webcam 1080P"/>
        <s v="Bluetooth Speaker"/>
        <s v="Dual-Band Wi-Fi Router"/>
        <s v="External Ssd 1Tb"/>
        <s v="Usb-C Docking Station"/>
        <s v="Ergonomic Office Chair"/>
        <s v="Premium Leather Journal"/>
        <s v="Bamboo Desk Organizer"/>
        <s v="Gel Pen Multi-Pack"/>
        <s v="Dry Erase Whiteboard"/>
        <s v="Heavy Duty Stapler"/>
        <s v="Adjustable Footrest"/>
        <s v="Desk Scissors 3-Pack"/>
        <s v="File Folders Box Of 100"/>
        <s v="Shredder High-Security"/>
        <s v="Led Desk Lamp W/ Charger"/>
        <s v="Smart Power Strip"/>
        <s v="Electric Standing Desk"/>
        <s v="Anti-Fatigue Desk Mat"/>
        <s v="Monitor Arm Mount"/>
        <s v="Under-Desk Drawer Cabinet"/>
        <s v="Lumbar Support Pillow"/>
        <s v="Cable Management Tray"/>
        <s v="Ring Light For Video Calls"/>
        <s v="Privacy Screen Filter 24In"/>
      </sharedItems>
    </cacheField>
    <cacheField name="Category" numFmtId="0">
      <sharedItems count="3">
        <s v="Electronics"/>
        <s v="Office Supplies"/>
        <s v="Home Office"/>
      </sharedItems>
    </cacheField>
    <cacheField name="Unit Cost" numFmtId="0">
      <sharedItems containsSemiMixedTypes="0" containsString="0" containsNumber="1" minValue="2.5" maxValue="210"/>
    </cacheField>
    <cacheField name="Selling Price" numFmtId="0">
      <sharedItems containsSemiMixedTypes="0" containsString="0" containsNumber="1" minValue="8.5" maxValue="499"/>
    </cacheField>
    <cacheField name="Safety Stock Level" numFmtId="0">
      <sharedItems containsSemiMixedTypes="0" containsString="0" containsNumber="1" containsInteger="1" minValue="15" maxValue="150"/>
    </cacheField>
    <cacheField name="Starting Stock" numFmtId="0">
      <sharedItems containsSemiMixedTypes="0" containsString="0" containsNumber="1" containsInteger="1" minValue="50" maxValue="600"/>
    </cacheField>
    <cacheField name="Total Unit Sold" numFmtId="0">
      <sharedItems containsSemiMixedTypes="0" containsString="0" containsNumber="1" containsInteger="1" minValue="95" maxValue="315"/>
    </cacheField>
    <cacheField name="Ending Inventroy" numFmtId="0">
      <sharedItems containsSemiMixedTypes="0" containsString="0" containsNumber="1" containsInteger="1" minValue="-192" maxValue="464"/>
    </cacheField>
    <cacheField name="Gross Revenue" numFmtId="0">
      <sharedItems containsSemiMixedTypes="0" containsString="0" containsNumber="1" minValue="2127.87" maxValue="94311"/>
    </cacheField>
    <cacheField name="Inventry Status" numFmtId="0">
      <sharedItems count="3">
        <s v="STABLE"/>
        <s v="STOCK CRISIS"/>
        <s v="REORDER"/>
      </sharedItems>
    </cacheField>
    <cacheField name="Profit" numFmtId="0">
      <sharedItems containsSemiMixedTypes="0" containsString="0" containsNumber="1" minValue="1488.87" maxValue="54621"/>
    </cacheField>
  </cacheFields>
  <extLst>
    <ext xmlns:x14="http://schemas.microsoft.com/office/spreadsheetml/2009/9/main" uri="{725AE2AE-9491-48be-B2B4-4EB974FC3084}">
      <x14:pivotCacheDefinition pivotCacheId="194533478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0">
  <r>
    <s v="TXN-1000"/>
    <s v="2026-04-13"/>
    <x v="0"/>
    <n v="14"/>
    <x v="0"/>
    <x v="0"/>
    <x v="0"/>
    <n v="385"/>
    <d v="2026-04-01T00:00:00"/>
    <x v="0"/>
  </r>
  <r>
    <s v="TXN-1001"/>
    <s v="2026-09-01"/>
    <x v="1"/>
    <n v="10"/>
    <x v="1"/>
    <x v="1"/>
    <x v="1"/>
    <n v="1800"/>
    <d v="2026-09-01T00:00:00"/>
    <x v="1"/>
  </r>
  <r>
    <s v="TXN-1002"/>
    <s v="07/21/2026"/>
    <x v="2"/>
    <n v="5"/>
    <x v="2"/>
    <x v="0"/>
    <x v="2"/>
    <n v="2495"/>
    <d v="2026-07-01T00:00:00"/>
    <x v="2"/>
  </r>
  <r>
    <s v="TXN-1003"/>
    <s v="02/10/2026"/>
    <x v="1"/>
    <n v="13"/>
    <x v="0"/>
    <x v="0"/>
    <x v="3"/>
    <n v="2340"/>
    <d v="2026-02-01T00:00:00"/>
    <x v="3"/>
  </r>
  <r>
    <s v="TXN-1004"/>
    <s v="2026-08-19"/>
    <x v="3"/>
    <n v="4"/>
    <x v="3"/>
    <x v="2"/>
    <x v="4"/>
    <n v="34"/>
    <d v="2026-08-01T00:00:00"/>
    <x v="4"/>
  </r>
  <r>
    <s v="TXN-1005"/>
    <s v="2026-09-16"/>
    <x v="4"/>
    <n v="1"/>
    <x v="3"/>
    <x v="0"/>
    <x v="5"/>
    <n v="29.99"/>
    <d v="2026-09-01T00:00:00"/>
    <x v="1"/>
  </r>
  <r>
    <s v="TXN-1006"/>
    <s v="2026-05-06"/>
    <x v="5"/>
    <n v="7"/>
    <x v="1"/>
    <x v="2"/>
    <x v="6"/>
    <n v="168"/>
    <d v="2026-05-01T00:00:00"/>
    <x v="5"/>
  </r>
  <r>
    <s v="TXN-1007"/>
    <s v="2026-05-08"/>
    <x v="6"/>
    <n v="4"/>
    <x v="0"/>
    <x v="2"/>
    <x v="7"/>
    <n v="170"/>
    <d v="2026-05-01T00:00:00"/>
    <x v="5"/>
  </r>
  <r>
    <s v="TXN-1008"/>
    <s v="2026-04-14"/>
    <x v="7"/>
    <n v="14"/>
    <x v="2"/>
    <x v="1"/>
    <x v="8"/>
    <n v="979.8599999999999"/>
    <d v="2026-04-01T00:00:00"/>
    <x v="0"/>
  </r>
  <r>
    <s v="TXN-1009"/>
    <s v="2026-08-18"/>
    <x v="8"/>
    <n v="12"/>
    <x v="3"/>
    <x v="0"/>
    <x v="9"/>
    <n v="1679.88"/>
    <d v="2026-08-01T00:00:00"/>
    <x v="4"/>
  </r>
  <r>
    <s v="TXN-1010"/>
    <s v="2026-09-10"/>
    <x v="5"/>
    <n v="10"/>
    <x v="0"/>
    <x v="2"/>
    <x v="10"/>
    <n v="240"/>
    <d v="2026-09-01T00:00:00"/>
    <x v="1"/>
  </r>
  <r>
    <s v="TXN-1011"/>
    <s v="2026-02-05"/>
    <x v="8"/>
    <n v="4"/>
    <x v="2"/>
    <x v="0"/>
    <x v="11"/>
    <n v="559.96"/>
    <d v="2026-02-01T00:00:00"/>
    <x v="3"/>
  </r>
  <r>
    <s v="TXN-1012"/>
    <s v="05/24/2026"/>
    <x v="9"/>
    <n v="3"/>
    <x v="3"/>
    <x v="1"/>
    <x v="12"/>
    <n v="104.97"/>
    <d v="2026-05-01T00:00:00"/>
    <x v="5"/>
  </r>
  <r>
    <s v="TXN-1013"/>
    <s v="2026-07-04"/>
    <x v="10"/>
    <n v="4"/>
    <x v="1"/>
    <x v="0"/>
    <x v="13"/>
    <n v="1399.96"/>
    <d v="2026-07-01T00:00:00"/>
    <x v="2"/>
  </r>
  <r>
    <s v="TXN-1014"/>
    <s v="2026-09-15"/>
    <x v="11"/>
    <n v="14"/>
    <x v="2"/>
    <x v="0"/>
    <x v="14"/>
    <n v="630"/>
    <d v="2026-09-01T00:00:00"/>
    <x v="1"/>
  </r>
  <r>
    <s v="TXN-1015"/>
    <s v="2026-04-15"/>
    <x v="6"/>
    <n v="14"/>
    <x v="1"/>
    <x v="2"/>
    <x v="15"/>
    <n v="595"/>
    <d v="2026-04-01T00:00:00"/>
    <x v="0"/>
  </r>
  <r>
    <s v="TXN-1016"/>
    <s v="2026-07-06"/>
    <x v="12"/>
    <n v="10"/>
    <x v="3"/>
    <x v="0"/>
    <x v="16"/>
    <n v="399.90000000000003"/>
    <d v="2026-07-01T00:00:00"/>
    <x v="2"/>
  </r>
  <r>
    <s v="TXN-1017"/>
    <s v="2026-08-03"/>
    <x v="13"/>
    <n v="4"/>
    <x v="1"/>
    <x v="1"/>
    <x v="17"/>
    <n v="119.96"/>
    <d v="2026-08-01T00:00:00"/>
    <x v="4"/>
  </r>
  <r>
    <s v="TXN-1018"/>
    <s v="2026-09-09"/>
    <x v="11"/>
    <n v="5"/>
    <x v="1"/>
    <x v="1"/>
    <x v="18"/>
    <n v="225"/>
    <d v="2026-09-01T00:00:00"/>
    <x v="1"/>
  </r>
  <r>
    <s v="TXN-1019"/>
    <s v="08/01/2026"/>
    <x v="13"/>
    <n v="2"/>
    <x v="1"/>
    <x v="2"/>
    <x v="19"/>
    <n v="59.98"/>
    <d v="2026-08-01T00:00:00"/>
    <x v="4"/>
  </r>
  <r>
    <s v="TXN-1020"/>
    <s v="2026-02-10"/>
    <x v="14"/>
    <n v="10"/>
    <x v="0"/>
    <x v="2"/>
    <x v="3"/>
    <n v="350"/>
    <d v="2026-02-01T00:00:00"/>
    <x v="3"/>
  </r>
  <r>
    <s v="TXN-1021"/>
    <s v="2026-06-26"/>
    <x v="15"/>
    <n v="2"/>
    <x v="1"/>
    <x v="0"/>
    <x v="20"/>
    <n v="239.98"/>
    <d v="2026-06-01T00:00:00"/>
    <x v="6"/>
  </r>
  <r>
    <s v="TXN-1022"/>
    <s v="2026-03-13"/>
    <x v="10"/>
    <n v="3"/>
    <x v="0"/>
    <x v="1"/>
    <x v="21"/>
    <n v="1049.97"/>
    <d v="2026-03-01T00:00:00"/>
    <x v="7"/>
  </r>
  <r>
    <s v="TXN-1023"/>
    <s v="2026-09-06"/>
    <x v="5"/>
    <n v="11"/>
    <x v="3"/>
    <x v="1"/>
    <x v="22"/>
    <n v="264"/>
    <d v="2026-09-01T00:00:00"/>
    <x v="1"/>
  </r>
  <r>
    <s v="TXN-1024"/>
    <s v="2026-03-02"/>
    <x v="12"/>
    <n v="1"/>
    <x v="1"/>
    <x v="2"/>
    <x v="23"/>
    <n v="39.99"/>
    <d v="2026-03-01T00:00:00"/>
    <x v="7"/>
  </r>
  <r>
    <s v="TXN-1025"/>
    <s v="09/10/2026"/>
    <x v="15"/>
    <n v="7"/>
    <x v="2"/>
    <x v="1"/>
    <x v="10"/>
    <n v="839.93"/>
    <d v="2026-09-01T00:00:00"/>
    <x v="1"/>
  </r>
  <r>
    <s v="TXN-1026"/>
    <s v="2026-05-06"/>
    <x v="1"/>
    <n v="13"/>
    <x v="2"/>
    <x v="2"/>
    <x v="6"/>
    <n v="2340"/>
    <d v="2026-05-01T00:00:00"/>
    <x v="5"/>
  </r>
  <r>
    <s v="TXN-1027"/>
    <s v="2026-05-30"/>
    <x v="16"/>
    <n v="3"/>
    <x v="3"/>
    <x v="2"/>
    <x v="24"/>
    <n v="29.97"/>
    <d v="2026-05-01T00:00:00"/>
    <x v="5"/>
  </r>
  <r>
    <s v="TXN-1028"/>
    <s v="2026-04-28"/>
    <x v="17"/>
    <n v="5"/>
    <x v="3"/>
    <x v="2"/>
    <x v="25"/>
    <n v="299.95"/>
    <d v="2026-04-01T00:00:00"/>
    <x v="0"/>
  </r>
  <r>
    <s v="TXN-1029"/>
    <s v="2026-09-22"/>
    <x v="18"/>
    <n v="14"/>
    <x v="2"/>
    <x v="1"/>
    <x v="26"/>
    <n v="279.85999999999996"/>
    <d v="2026-09-01T00:00:00"/>
    <x v="1"/>
  </r>
  <r>
    <s v="TXN-1030"/>
    <s v="2026-05-12"/>
    <x v="19"/>
    <n v="4"/>
    <x v="0"/>
    <x v="0"/>
    <x v="27"/>
    <n v="87.96"/>
    <d v="2026-05-01T00:00:00"/>
    <x v="5"/>
  </r>
  <r>
    <s v="TXN-1031"/>
    <s v="2026-06-06"/>
    <x v="12"/>
    <n v="3"/>
    <x v="0"/>
    <x v="1"/>
    <x v="28"/>
    <n v="119.97"/>
    <d v="2026-06-01T00:00:00"/>
    <x v="6"/>
  </r>
  <r>
    <s v="TXN-1032"/>
    <s v="2026-03-10"/>
    <x v="20"/>
    <n v="3"/>
    <x v="3"/>
    <x v="1"/>
    <x v="29"/>
    <n v="239.96999999999997"/>
    <d v="2026-03-01T00:00:00"/>
    <x v="7"/>
  </r>
  <r>
    <s v="TXN-1033"/>
    <s v="08/02/2026"/>
    <x v="1"/>
    <n v="2"/>
    <x v="0"/>
    <x v="1"/>
    <x v="30"/>
    <n v="360"/>
    <d v="2026-08-01T00:00:00"/>
    <x v="4"/>
  </r>
  <r>
    <s v="TXN-1034"/>
    <s v="2026-01-17"/>
    <x v="15"/>
    <n v="7"/>
    <x v="0"/>
    <x v="0"/>
    <x v="31"/>
    <n v="839.93"/>
    <d v="2026-01-01T00:00:00"/>
    <x v="8"/>
  </r>
  <r>
    <s v="TXN-1035"/>
    <s v="2026-07-30"/>
    <x v="8"/>
    <n v="1"/>
    <x v="0"/>
    <x v="0"/>
    <x v="32"/>
    <n v="139.99"/>
    <d v="2026-07-01T00:00:00"/>
    <x v="2"/>
  </r>
  <r>
    <s v="TXN-1036"/>
    <s v="06/27/2026"/>
    <x v="8"/>
    <n v="5"/>
    <x v="0"/>
    <x v="2"/>
    <x v="33"/>
    <n v="699.95"/>
    <d v="2026-06-01T00:00:00"/>
    <x v="6"/>
  </r>
  <r>
    <s v="TXN-1037"/>
    <s v="2026-02-05"/>
    <x v="20"/>
    <n v="2"/>
    <x v="0"/>
    <x v="2"/>
    <x v="11"/>
    <n v="159.97999999999999"/>
    <d v="2026-02-01T00:00:00"/>
    <x v="3"/>
  </r>
  <r>
    <s v="TXN-1038"/>
    <s v="2026-01-14"/>
    <x v="0"/>
    <n v="5"/>
    <x v="0"/>
    <x v="2"/>
    <x v="34"/>
    <n v="137.5"/>
    <d v="2026-01-01T00:00:00"/>
    <x v="8"/>
  </r>
  <r>
    <s v="TXN-1039"/>
    <s v="2026-05-14"/>
    <x v="9"/>
    <n v="5"/>
    <x v="1"/>
    <x v="2"/>
    <x v="35"/>
    <n v="174.95000000000002"/>
    <d v="2026-05-01T00:00:00"/>
    <x v="5"/>
  </r>
  <r>
    <s v="TXN-1040"/>
    <s v="2026-09-07"/>
    <x v="14"/>
    <n v="12"/>
    <x v="0"/>
    <x v="2"/>
    <x v="36"/>
    <n v="420"/>
    <d v="2026-09-01T00:00:00"/>
    <x v="1"/>
  </r>
  <r>
    <s v="TXN-1041"/>
    <s v="2026-02-13"/>
    <x v="14"/>
    <n v="7"/>
    <x v="2"/>
    <x v="0"/>
    <x v="37"/>
    <n v="245"/>
    <d v="2026-02-01T00:00:00"/>
    <x v="3"/>
  </r>
  <r>
    <s v="TXN-1042"/>
    <s v="2026-04-27"/>
    <x v="9"/>
    <n v="2"/>
    <x v="3"/>
    <x v="2"/>
    <x v="38"/>
    <n v="69.98"/>
    <d v="2026-04-01T00:00:00"/>
    <x v="0"/>
  </r>
  <r>
    <s v="TXN-1043"/>
    <s v="2026-04-18"/>
    <x v="13"/>
    <n v="4"/>
    <x v="2"/>
    <x v="1"/>
    <x v="39"/>
    <n v="119.96"/>
    <d v="2026-04-01T00:00:00"/>
    <x v="0"/>
  </r>
  <r>
    <s v="TXN-1044"/>
    <s v="2026-06-02"/>
    <x v="21"/>
    <n v="13"/>
    <x v="2"/>
    <x v="1"/>
    <x v="40"/>
    <n v="1689.8700000000001"/>
    <d v="2026-06-01T00:00:00"/>
    <x v="6"/>
  </r>
  <r>
    <s v="TXN-1045"/>
    <s v="2026-04-17"/>
    <x v="22"/>
    <n v="4"/>
    <x v="2"/>
    <x v="2"/>
    <x v="41"/>
    <n v="199.96"/>
    <d v="2026-04-01T00:00:00"/>
    <x v="0"/>
  </r>
  <r>
    <s v="TXN-1046"/>
    <s v="2026-04-08"/>
    <x v="22"/>
    <n v="8"/>
    <x v="3"/>
    <x v="1"/>
    <x v="42"/>
    <n v="399.92"/>
    <d v="2026-04-01T00:00:00"/>
    <x v="0"/>
  </r>
  <r>
    <s v="TXN-1047"/>
    <s v="2026-04-25"/>
    <x v="16"/>
    <n v="7"/>
    <x v="2"/>
    <x v="1"/>
    <x v="43"/>
    <n v="69.930000000000007"/>
    <d v="2026-04-01T00:00:00"/>
    <x v="0"/>
  </r>
  <r>
    <s v="TXN-1048"/>
    <s v="2026-06-09"/>
    <x v="18"/>
    <n v="14"/>
    <x v="3"/>
    <x v="2"/>
    <x v="44"/>
    <n v="279.85999999999996"/>
    <d v="2026-06-01T00:00:00"/>
    <x v="6"/>
  </r>
  <r>
    <s v="TXN-1049"/>
    <s v="10/05/2026"/>
    <x v="8"/>
    <n v="2"/>
    <x v="3"/>
    <x v="2"/>
    <x v="45"/>
    <n v="279.98"/>
    <d v="2026-10-01T00:00:00"/>
    <x v="9"/>
  </r>
  <r>
    <s v="TXN-1050"/>
    <s v="2026-04-09"/>
    <x v="6"/>
    <n v="3"/>
    <x v="1"/>
    <x v="2"/>
    <x v="46"/>
    <n v="127.5"/>
    <d v="2026-04-01T00:00:00"/>
    <x v="0"/>
  </r>
  <r>
    <s v="TXN-1051"/>
    <s v="2026-10-07"/>
    <x v="1"/>
    <n v="12"/>
    <x v="0"/>
    <x v="1"/>
    <x v="47"/>
    <n v="2160"/>
    <d v="2026-10-01T00:00:00"/>
    <x v="9"/>
  </r>
  <r>
    <s v="TXN-1052"/>
    <s v="2026-04-27"/>
    <x v="23"/>
    <n v="12"/>
    <x v="1"/>
    <x v="2"/>
    <x v="38"/>
    <n v="2748"/>
    <d v="2026-04-01T00:00:00"/>
    <x v="0"/>
  </r>
  <r>
    <s v="TXN-1053"/>
    <s v="2026-07-21"/>
    <x v="13"/>
    <n v="9"/>
    <x v="0"/>
    <x v="0"/>
    <x v="2"/>
    <n v="269.90999999999997"/>
    <d v="2026-07-01T00:00:00"/>
    <x v="2"/>
  </r>
  <r>
    <s v="TXN-1054"/>
    <s v="2026-02-10"/>
    <x v="9"/>
    <n v="3"/>
    <x v="1"/>
    <x v="1"/>
    <x v="3"/>
    <n v="104.97"/>
    <d v="2026-02-01T00:00:00"/>
    <x v="3"/>
  </r>
  <r>
    <s v="TXN-1055"/>
    <s v="2026-07-30"/>
    <x v="7"/>
    <n v="2"/>
    <x v="1"/>
    <x v="1"/>
    <x v="32"/>
    <n v="139.97999999999999"/>
    <d v="2026-07-01T00:00:00"/>
    <x v="2"/>
  </r>
  <r>
    <s v="TXN-1056"/>
    <s v="2026-08-31"/>
    <x v="1"/>
    <n v="9"/>
    <x v="1"/>
    <x v="1"/>
    <x v="48"/>
    <n v="1620"/>
    <d v="2026-08-01T00:00:00"/>
    <x v="4"/>
  </r>
  <r>
    <s v="TXN-1057"/>
    <s v="2026-08-19"/>
    <x v="16"/>
    <n v="11"/>
    <x v="3"/>
    <x v="0"/>
    <x v="4"/>
    <n v="109.89"/>
    <d v="2026-08-01T00:00:00"/>
    <x v="4"/>
  </r>
  <r>
    <s v="TXN-1058"/>
    <s v="2026-07-23"/>
    <x v="19"/>
    <n v="4"/>
    <x v="3"/>
    <x v="1"/>
    <x v="49"/>
    <n v="87.96"/>
    <d v="2026-07-01T00:00:00"/>
    <x v="2"/>
  </r>
  <r>
    <s v="TXN-1059"/>
    <s v="2026-08-04"/>
    <x v="14"/>
    <n v="7"/>
    <x v="0"/>
    <x v="1"/>
    <x v="50"/>
    <n v="245"/>
    <d v="2026-08-01T00:00:00"/>
    <x v="4"/>
  </r>
  <r>
    <s v="TXN-1060"/>
    <s v="2026-04-24"/>
    <x v="5"/>
    <n v="9"/>
    <x v="0"/>
    <x v="1"/>
    <x v="51"/>
    <n v="216"/>
    <d v="2026-04-01T00:00:00"/>
    <x v="0"/>
  </r>
  <r>
    <s v="TXN-1061"/>
    <s v="2026-04-12"/>
    <x v="18"/>
    <n v="14"/>
    <x v="2"/>
    <x v="1"/>
    <x v="52"/>
    <n v="279.85999999999996"/>
    <d v="2026-04-01T00:00:00"/>
    <x v="0"/>
  </r>
  <r>
    <s v="TXN-1062"/>
    <s v="2026-09-22"/>
    <x v="5"/>
    <n v="4"/>
    <x v="3"/>
    <x v="2"/>
    <x v="26"/>
    <n v="96"/>
    <d v="2026-09-01T00:00:00"/>
    <x v="1"/>
  </r>
  <r>
    <s v="TXN-1063"/>
    <s v="2026-10-02"/>
    <x v="17"/>
    <n v="4"/>
    <x v="2"/>
    <x v="0"/>
    <x v="53"/>
    <n v="239.96"/>
    <d v="2026-10-01T00:00:00"/>
    <x v="9"/>
  </r>
  <r>
    <s v="TXN-1064"/>
    <s v="2026-06-21"/>
    <x v="24"/>
    <n v="4"/>
    <x v="2"/>
    <x v="2"/>
    <x v="54"/>
    <n v="60"/>
    <d v="2026-06-01T00:00:00"/>
    <x v="6"/>
  </r>
  <r>
    <s v="TXN-1065"/>
    <s v="2026-08-30"/>
    <x v="15"/>
    <n v="1"/>
    <x v="0"/>
    <x v="0"/>
    <x v="55"/>
    <n v="119.99"/>
    <d v="2026-08-01T00:00:00"/>
    <x v="4"/>
  </r>
  <r>
    <s v="TXN-1066"/>
    <s v="2026-10-07"/>
    <x v="12"/>
    <n v="5"/>
    <x v="1"/>
    <x v="1"/>
    <x v="47"/>
    <n v="199.95000000000002"/>
    <d v="2026-10-01T00:00:00"/>
    <x v="9"/>
  </r>
  <r>
    <s v="TXN-1067"/>
    <s v="2026-07-19"/>
    <x v="3"/>
    <n v="12"/>
    <x v="3"/>
    <x v="0"/>
    <x v="56"/>
    <n v="102"/>
    <d v="2026-07-01T00:00:00"/>
    <x v="2"/>
  </r>
  <r>
    <s v="TXN-1068"/>
    <s v="2026-05-24"/>
    <x v="8"/>
    <n v="9"/>
    <x v="3"/>
    <x v="2"/>
    <x v="12"/>
    <n v="1259.9100000000001"/>
    <d v="2026-05-01T00:00:00"/>
    <x v="5"/>
  </r>
  <r>
    <s v="TXN-1069"/>
    <s v="2026-06-29"/>
    <x v="5"/>
    <n v="2"/>
    <x v="0"/>
    <x v="1"/>
    <x v="57"/>
    <n v="48"/>
    <d v="2026-06-01T00:00:00"/>
    <x v="6"/>
  </r>
  <r>
    <s v="TXN-1070"/>
    <s v="07/25/2026"/>
    <x v="6"/>
    <n v="2"/>
    <x v="3"/>
    <x v="0"/>
    <x v="58"/>
    <n v="85"/>
    <d v="2026-07-01T00:00:00"/>
    <x v="2"/>
  </r>
  <r>
    <s v="TXN-1071"/>
    <s v="2026-06-09"/>
    <x v="7"/>
    <n v="7"/>
    <x v="1"/>
    <x v="2"/>
    <x v="44"/>
    <n v="489.92999999999995"/>
    <d v="2026-06-01T00:00:00"/>
    <x v="6"/>
  </r>
  <r>
    <s v="TXN-1072"/>
    <s v="2026-05-04"/>
    <x v="0"/>
    <n v="3"/>
    <x v="3"/>
    <x v="0"/>
    <x v="59"/>
    <n v="82.5"/>
    <d v="2026-05-01T00:00:00"/>
    <x v="5"/>
  </r>
  <r>
    <s v="TXN-1073"/>
    <s v="2026-07-10"/>
    <x v="25"/>
    <n v="8"/>
    <x v="3"/>
    <x v="0"/>
    <x v="60"/>
    <n v="151.91999999999999"/>
    <d v="2026-07-01T00:00:00"/>
    <x v="2"/>
  </r>
  <r>
    <s v="TXN-1074"/>
    <s v="2026-09-04"/>
    <x v="16"/>
    <n v="11"/>
    <x v="1"/>
    <x v="0"/>
    <x v="61"/>
    <n v="109.89"/>
    <d v="2026-09-01T00:00:00"/>
    <x v="1"/>
  </r>
  <r>
    <s v="TXN-1075"/>
    <s v="2026-07-30"/>
    <x v="13"/>
    <n v="2"/>
    <x v="2"/>
    <x v="2"/>
    <x v="32"/>
    <n v="59.98"/>
    <d v="2026-07-01T00:00:00"/>
    <x v="2"/>
  </r>
  <r>
    <s v="TXN-1076"/>
    <s v="2026-06-13"/>
    <x v="26"/>
    <n v="5"/>
    <x v="0"/>
    <x v="1"/>
    <x v="62"/>
    <n v="225"/>
    <d v="2026-06-01T00:00:00"/>
    <x v="6"/>
  </r>
  <r>
    <s v="TXN-1077"/>
    <s v="2026-02-01"/>
    <x v="25"/>
    <n v="11"/>
    <x v="2"/>
    <x v="0"/>
    <x v="63"/>
    <n v="208.89"/>
    <d v="2026-02-01T00:00:00"/>
    <x v="3"/>
  </r>
  <r>
    <s v="TXN-1078"/>
    <s v="2026-03-29"/>
    <x v="16"/>
    <n v="14"/>
    <x v="0"/>
    <x v="0"/>
    <x v="64"/>
    <n v="139.86000000000001"/>
    <d v="2026-03-01T00:00:00"/>
    <x v="7"/>
  </r>
  <r>
    <s v="TXN-1079"/>
    <s v="2026-03-07"/>
    <x v="3"/>
    <n v="6"/>
    <x v="3"/>
    <x v="1"/>
    <x v="65"/>
    <n v="51"/>
    <d v="2026-03-01T00:00:00"/>
    <x v="7"/>
  </r>
  <r>
    <s v="TXN-1080"/>
    <s v="2026-07-21"/>
    <x v="8"/>
    <n v="4"/>
    <x v="1"/>
    <x v="0"/>
    <x v="2"/>
    <n v="559.96"/>
    <d v="2026-07-01T00:00:00"/>
    <x v="2"/>
  </r>
  <r>
    <s v="TXN-1081"/>
    <s v="2026-06-22"/>
    <x v="27"/>
    <n v="11"/>
    <x v="3"/>
    <x v="1"/>
    <x v="66"/>
    <n v="989.89"/>
    <d v="2026-06-01T00:00:00"/>
    <x v="6"/>
  </r>
  <r>
    <s v="TXN-1082"/>
    <s v="2026-09-11"/>
    <x v="24"/>
    <n v="6"/>
    <x v="2"/>
    <x v="2"/>
    <x v="67"/>
    <n v="90"/>
    <d v="2026-09-01T00:00:00"/>
    <x v="1"/>
  </r>
  <r>
    <s v="TXN-1083"/>
    <s v="01/31/2026"/>
    <x v="18"/>
    <n v="6"/>
    <x v="0"/>
    <x v="0"/>
    <x v="68"/>
    <n v="119.94"/>
    <d v="2026-01-01T00:00:00"/>
    <x v="8"/>
  </r>
  <r>
    <s v="TXN-1084"/>
    <s v="2026-06-09"/>
    <x v="7"/>
    <n v="7"/>
    <x v="3"/>
    <x v="2"/>
    <x v="44"/>
    <n v="489.92999999999995"/>
    <d v="2026-06-01T00:00:00"/>
    <x v="6"/>
  </r>
  <r>
    <s v="TXN-1085"/>
    <s v="2026-06-01"/>
    <x v="19"/>
    <n v="8"/>
    <x v="2"/>
    <x v="0"/>
    <x v="69"/>
    <n v="175.92"/>
    <d v="2026-06-01T00:00:00"/>
    <x v="6"/>
  </r>
  <r>
    <s v="TXN-1086"/>
    <s v="05/18/2026"/>
    <x v="23"/>
    <n v="7"/>
    <x v="3"/>
    <x v="0"/>
    <x v="70"/>
    <n v="1603"/>
    <d v="2026-05-01T00:00:00"/>
    <x v="5"/>
  </r>
  <r>
    <s v="TXN-1087"/>
    <s v="2026-06-27"/>
    <x v="18"/>
    <n v="1"/>
    <x v="1"/>
    <x v="2"/>
    <x v="33"/>
    <n v="19.989999999999998"/>
    <d v="2026-06-01T00:00:00"/>
    <x v="6"/>
  </r>
  <r>
    <s v="TXN-1088"/>
    <s v="01/08/2026"/>
    <x v="3"/>
    <n v="1"/>
    <x v="1"/>
    <x v="2"/>
    <x v="71"/>
    <n v="8.5"/>
    <d v="2026-01-01T00:00:00"/>
    <x v="8"/>
  </r>
  <r>
    <s v="TXN-1089"/>
    <s v="2026-06-03"/>
    <x v="5"/>
    <n v="3"/>
    <x v="0"/>
    <x v="1"/>
    <x v="72"/>
    <n v="72"/>
    <d v="2026-06-01T00:00:00"/>
    <x v="6"/>
  </r>
  <r>
    <s v="TXN-1090"/>
    <s v="2026-03-16"/>
    <x v="0"/>
    <n v="5"/>
    <x v="0"/>
    <x v="2"/>
    <x v="73"/>
    <n v="137.5"/>
    <d v="2026-03-01T00:00:00"/>
    <x v="7"/>
  </r>
  <r>
    <s v="TXN-1091"/>
    <s v="2026-04-27"/>
    <x v="9"/>
    <n v="4"/>
    <x v="3"/>
    <x v="2"/>
    <x v="38"/>
    <n v="139.96"/>
    <d v="2026-04-01T00:00:00"/>
    <x v="0"/>
  </r>
  <r>
    <s v="TXN-1092"/>
    <s v="09/27/2026"/>
    <x v="9"/>
    <n v="1"/>
    <x v="1"/>
    <x v="2"/>
    <x v="74"/>
    <n v="34.99"/>
    <d v="2026-09-01T00:00:00"/>
    <x v="1"/>
  </r>
  <r>
    <s v="TXN-1093"/>
    <s v="2026-05-22"/>
    <x v="11"/>
    <n v="13"/>
    <x v="3"/>
    <x v="0"/>
    <x v="75"/>
    <n v="585"/>
    <d v="2026-05-01T00:00:00"/>
    <x v="5"/>
  </r>
  <r>
    <s v="TXN-1094"/>
    <s v="08/04/2026"/>
    <x v="26"/>
    <n v="7"/>
    <x v="3"/>
    <x v="2"/>
    <x v="50"/>
    <n v="315"/>
    <d v="2026-08-01T00:00:00"/>
    <x v="4"/>
  </r>
  <r>
    <s v="TXN-1095"/>
    <s v="2026-03-13"/>
    <x v="23"/>
    <n v="5"/>
    <x v="3"/>
    <x v="1"/>
    <x v="21"/>
    <n v="1145"/>
    <d v="2026-03-01T00:00:00"/>
    <x v="7"/>
  </r>
  <r>
    <s v="TXN-1096"/>
    <s v="2026-04-16"/>
    <x v="4"/>
    <n v="10"/>
    <x v="0"/>
    <x v="1"/>
    <x v="76"/>
    <n v="299.89999999999998"/>
    <d v="2026-04-01T00:00:00"/>
    <x v="0"/>
  </r>
  <r>
    <s v="TXN-1097"/>
    <s v="01/08/2026"/>
    <x v="18"/>
    <n v="10"/>
    <x v="2"/>
    <x v="0"/>
    <x v="71"/>
    <n v="199.89999999999998"/>
    <d v="2026-01-01T00:00:00"/>
    <x v="8"/>
  </r>
  <r>
    <s v="TXN-1098"/>
    <s v="2026-09-23"/>
    <x v="5"/>
    <n v="9"/>
    <x v="0"/>
    <x v="2"/>
    <x v="77"/>
    <n v="216"/>
    <d v="2026-09-01T00:00:00"/>
    <x v="1"/>
  </r>
  <r>
    <s v="TXN-1099"/>
    <s v="2026-10-04"/>
    <x v="23"/>
    <n v="8"/>
    <x v="3"/>
    <x v="2"/>
    <x v="78"/>
    <n v="1832"/>
    <d v="2026-10-01T00:00:00"/>
    <x v="9"/>
  </r>
  <r>
    <s v="TXN-1100"/>
    <s v="2026-02-16"/>
    <x v="20"/>
    <n v="11"/>
    <x v="2"/>
    <x v="1"/>
    <x v="79"/>
    <n v="879.89"/>
    <d v="2026-02-01T00:00:00"/>
    <x v="3"/>
  </r>
  <r>
    <s v="TXN-1101"/>
    <s v="2026-08-22"/>
    <x v="9"/>
    <n v="11"/>
    <x v="0"/>
    <x v="0"/>
    <x v="80"/>
    <n v="384.89000000000004"/>
    <d v="2026-08-01T00:00:00"/>
    <x v="4"/>
  </r>
  <r>
    <s v="TXN-1102"/>
    <s v="2026-02-11"/>
    <x v="8"/>
    <n v="5"/>
    <x v="1"/>
    <x v="2"/>
    <x v="81"/>
    <n v="699.95"/>
    <d v="2026-02-01T00:00:00"/>
    <x v="3"/>
  </r>
  <r>
    <s v="TXN-1103"/>
    <s v="2026-05-25"/>
    <x v="19"/>
    <n v="4"/>
    <x v="2"/>
    <x v="0"/>
    <x v="82"/>
    <n v="87.96"/>
    <d v="2026-05-01T00:00:00"/>
    <x v="5"/>
  </r>
  <r>
    <s v="TXN-1104"/>
    <s v="2026-08-04"/>
    <x v="2"/>
    <n v="13"/>
    <x v="0"/>
    <x v="0"/>
    <x v="50"/>
    <n v="6487"/>
    <d v="2026-08-01T00:00:00"/>
    <x v="4"/>
  </r>
  <r>
    <s v="TXN-1105"/>
    <s v="2026-07-27"/>
    <x v="0"/>
    <n v="5"/>
    <x v="3"/>
    <x v="2"/>
    <x v="83"/>
    <n v="137.5"/>
    <d v="2026-07-01T00:00:00"/>
    <x v="2"/>
  </r>
  <r>
    <s v="TXN-1106"/>
    <s v="2026-07-07"/>
    <x v="20"/>
    <n v="10"/>
    <x v="3"/>
    <x v="0"/>
    <x v="84"/>
    <n v="799.9"/>
    <d v="2026-07-01T00:00:00"/>
    <x v="2"/>
  </r>
  <r>
    <s v="TXN-1107"/>
    <s v="08/03/2026"/>
    <x v="9"/>
    <n v="4"/>
    <x v="3"/>
    <x v="0"/>
    <x v="17"/>
    <n v="139.96"/>
    <d v="2026-08-01T00:00:00"/>
    <x v="4"/>
  </r>
  <r>
    <s v="TXN-1108"/>
    <s v="2026-09-21"/>
    <x v="5"/>
    <n v="9"/>
    <x v="0"/>
    <x v="1"/>
    <x v="85"/>
    <n v="216"/>
    <d v="2026-09-01T00:00:00"/>
    <x v="1"/>
  </r>
  <r>
    <s v="TXN-1109"/>
    <s v="04/10/2026"/>
    <x v="2"/>
    <n v="10"/>
    <x v="3"/>
    <x v="2"/>
    <x v="86"/>
    <n v="4990"/>
    <d v="2026-04-01T00:00:00"/>
    <x v="0"/>
  </r>
  <r>
    <s v="TXN-1110"/>
    <s v="01/28/2026"/>
    <x v="28"/>
    <n v="8"/>
    <x v="1"/>
    <x v="0"/>
    <x v="87"/>
    <n v="719.92"/>
    <d v="2026-01-01T00:00:00"/>
    <x v="8"/>
  </r>
  <r>
    <s v="TXN-1111"/>
    <s v="2026-10-01"/>
    <x v="8"/>
    <n v="3"/>
    <x v="0"/>
    <x v="1"/>
    <x v="88"/>
    <n v="419.97"/>
    <d v="2026-10-01T00:00:00"/>
    <x v="9"/>
  </r>
  <r>
    <s v="TXN-1112"/>
    <s v="01/17/2026"/>
    <x v="28"/>
    <n v="14"/>
    <x v="1"/>
    <x v="0"/>
    <x v="31"/>
    <n v="1259.8599999999999"/>
    <d v="2026-01-01T00:00:00"/>
    <x v="8"/>
  </r>
  <r>
    <s v="TXN-1113"/>
    <s v="05/15/2026"/>
    <x v="7"/>
    <n v="6"/>
    <x v="3"/>
    <x v="2"/>
    <x v="89"/>
    <n v="419.93999999999994"/>
    <d v="2026-05-01T00:00:00"/>
    <x v="5"/>
  </r>
  <r>
    <s v="TXN-1114"/>
    <s v="2026-02-28"/>
    <x v="2"/>
    <n v="10"/>
    <x v="3"/>
    <x v="1"/>
    <x v="90"/>
    <n v="4990"/>
    <d v="2026-02-01T00:00:00"/>
    <x v="3"/>
  </r>
  <r>
    <s v="TXN-1115"/>
    <s v="2026-01-05"/>
    <x v="24"/>
    <n v="2"/>
    <x v="0"/>
    <x v="0"/>
    <x v="91"/>
    <n v="30"/>
    <d v="2026-01-01T00:00:00"/>
    <x v="8"/>
  </r>
  <r>
    <s v="TXN-1116"/>
    <s v="2026-06-05"/>
    <x v="27"/>
    <n v="14"/>
    <x v="3"/>
    <x v="0"/>
    <x v="92"/>
    <n v="1259.8599999999999"/>
    <d v="2026-06-01T00:00:00"/>
    <x v="6"/>
  </r>
  <r>
    <s v="TXN-1117"/>
    <s v="2026-02-08"/>
    <x v="16"/>
    <n v="9"/>
    <x v="2"/>
    <x v="0"/>
    <x v="93"/>
    <n v="89.91"/>
    <d v="2026-02-01T00:00:00"/>
    <x v="3"/>
  </r>
  <r>
    <s v="TXN-1118"/>
    <s v="06/04/2026"/>
    <x v="10"/>
    <n v="10"/>
    <x v="0"/>
    <x v="0"/>
    <x v="94"/>
    <n v="3499.9"/>
    <d v="2026-06-01T00:00:00"/>
    <x v="6"/>
  </r>
  <r>
    <s v="TXN-1119"/>
    <s v="2026-02-10"/>
    <x v="9"/>
    <n v="4"/>
    <x v="3"/>
    <x v="2"/>
    <x v="3"/>
    <n v="139.96"/>
    <d v="2026-02-01T00:00:00"/>
    <x v="3"/>
  </r>
  <r>
    <s v="TXN-1120"/>
    <s v="2026-02-10"/>
    <x v="8"/>
    <n v="5"/>
    <x v="2"/>
    <x v="2"/>
    <x v="3"/>
    <n v="699.95"/>
    <d v="2026-02-01T00:00:00"/>
    <x v="3"/>
  </r>
  <r>
    <s v="TXN-1121"/>
    <s v="2026-09-06"/>
    <x v="1"/>
    <n v="14"/>
    <x v="1"/>
    <x v="0"/>
    <x v="22"/>
    <n v="2520"/>
    <d v="2026-09-01T00:00:00"/>
    <x v="1"/>
  </r>
  <r>
    <s v="TXN-1122"/>
    <s v="2026-02-16"/>
    <x v="5"/>
    <n v="9"/>
    <x v="0"/>
    <x v="2"/>
    <x v="79"/>
    <n v="216"/>
    <d v="2026-02-01T00:00:00"/>
    <x v="3"/>
  </r>
  <r>
    <s v="TXN-1123"/>
    <s v="2026-03-29"/>
    <x v="19"/>
    <n v="4"/>
    <x v="2"/>
    <x v="2"/>
    <x v="64"/>
    <n v="87.96"/>
    <d v="2026-03-01T00:00:00"/>
    <x v="7"/>
  </r>
  <r>
    <s v="TXN-1124"/>
    <s v="2026-02-12"/>
    <x v="4"/>
    <n v="9"/>
    <x v="3"/>
    <x v="0"/>
    <x v="95"/>
    <n v="269.90999999999997"/>
    <d v="2026-02-01T00:00:00"/>
    <x v="3"/>
  </r>
  <r>
    <s v="TXN-1125"/>
    <s v="2026-07-25"/>
    <x v="22"/>
    <n v="3"/>
    <x v="2"/>
    <x v="2"/>
    <x v="58"/>
    <n v="149.97"/>
    <d v="2026-07-01T00:00:00"/>
    <x v="2"/>
  </r>
  <r>
    <s v="TXN-1126"/>
    <s v="2026-02-16"/>
    <x v="28"/>
    <n v="11"/>
    <x v="3"/>
    <x v="0"/>
    <x v="79"/>
    <n v="989.89"/>
    <d v="2026-02-01T00:00:00"/>
    <x v="3"/>
  </r>
  <r>
    <s v="TXN-1127"/>
    <s v="2026-09-23"/>
    <x v="15"/>
    <n v="11"/>
    <x v="1"/>
    <x v="1"/>
    <x v="77"/>
    <n v="1319.8899999999999"/>
    <d v="2026-09-01T00:00:00"/>
    <x v="1"/>
  </r>
  <r>
    <s v="TXN-1128"/>
    <s v="2026-03-06"/>
    <x v="7"/>
    <n v="6"/>
    <x v="3"/>
    <x v="1"/>
    <x v="96"/>
    <n v="419.93999999999994"/>
    <d v="2026-03-01T00:00:00"/>
    <x v="7"/>
  </r>
  <r>
    <s v="TXN-1129"/>
    <s v="2026-02-23"/>
    <x v="24"/>
    <n v="14"/>
    <x v="2"/>
    <x v="2"/>
    <x v="97"/>
    <n v="210"/>
    <d v="2026-02-01T00:00:00"/>
    <x v="3"/>
  </r>
  <r>
    <s v="TXN-1130"/>
    <s v="2026-01-16"/>
    <x v="11"/>
    <n v="8"/>
    <x v="0"/>
    <x v="2"/>
    <x v="98"/>
    <n v="360"/>
    <d v="2026-01-01T00:00:00"/>
    <x v="8"/>
  </r>
  <r>
    <s v="TXN-1131"/>
    <s v="2026-09-15"/>
    <x v="19"/>
    <n v="6"/>
    <x v="2"/>
    <x v="2"/>
    <x v="14"/>
    <n v="131.94"/>
    <d v="2026-09-01T00:00:00"/>
    <x v="1"/>
  </r>
  <r>
    <s v="TXN-1132"/>
    <s v="2026-05-13"/>
    <x v="7"/>
    <n v="7"/>
    <x v="1"/>
    <x v="2"/>
    <x v="99"/>
    <n v="489.92999999999995"/>
    <d v="2026-05-01T00:00:00"/>
    <x v="5"/>
  </r>
  <r>
    <s v="TXN-1133"/>
    <s v="2026-02-05"/>
    <x v="14"/>
    <n v="5"/>
    <x v="0"/>
    <x v="2"/>
    <x v="11"/>
    <n v="175"/>
    <d v="2026-02-01T00:00:00"/>
    <x v="3"/>
  </r>
  <r>
    <s v="TXN-1134"/>
    <s v="2026-06-09"/>
    <x v="21"/>
    <n v="6"/>
    <x v="0"/>
    <x v="0"/>
    <x v="44"/>
    <n v="779.94"/>
    <d v="2026-06-01T00:00:00"/>
    <x v="6"/>
  </r>
  <r>
    <s v="TXN-1135"/>
    <s v="2026-04-28"/>
    <x v="28"/>
    <n v="8"/>
    <x v="2"/>
    <x v="2"/>
    <x v="25"/>
    <n v="719.92"/>
    <d v="2026-04-01T00:00:00"/>
    <x v="0"/>
  </r>
  <r>
    <s v="TXN-1136"/>
    <s v="2026-03-12"/>
    <x v="14"/>
    <n v="6"/>
    <x v="3"/>
    <x v="0"/>
    <x v="100"/>
    <n v="210"/>
    <d v="2026-03-01T00:00:00"/>
    <x v="7"/>
  </r>
  <r>
    <s v="TXN-1137"/>
    <s v="2026-07-25"/>
    <x v="17"/>
    <n v="13"/>
    <x v="2"/>
    <x v="0"/>
    <x v="58"/>
    <n v="779.87"/>
    <d v="2026-07-01T00:00:00"/>
    <x v="2"/>
  </r>
  <r>
    <s v="TXN-1138"/>
    <s v="01/20/2026"/>
    <x v="28"/>
    <n v="10"/>
    <x v="1"/>
    <x v="2"/>
    <x v="101"/>
    <n v="899.9"/>
    <d v="2026-01-01T00:00:00"/>
    <x v="8"/>
  </r>
  <r>
    <s v="TXN-1139"/>
    <s v="2026-07-30"/>
    <x v="18"/>
    <n v="12"/>
    <x v="0"/>
    <x v="0"/>
    <x v="32"/>
    <n v="239.88"/>
    <d v="2026-07-01T00:00:00"/>
    <x v="2"/>
  </r>
  <r>
    <s v="TXN-1140"/>
    <s v="2026-03-22"/>
    <x v="15"/>
    <n v="4"/>
    <x v="2"/>
    <x v="2"/>
    <x v="102"/>
    <n v="479.96"/>
    <d v="2026-03-01T00:00:00"/>
    <x v="7"/>
  </r>
  <r>
    <s v="TXN-1141"/>
    <s v="2026-07-23"/>
    <x v="27"/>
    <n v="12"/>
    <x v="0"/>
    <x v="2"/>
    <x v="49"/>
    <n v="1079.8799999999999"/>
    <d v="2026-07-01T00:00:00"/>
    <x v="2"/>
  </r>
  <r>
    <s v="TXN-1142"/>
    <s v="2026-04-01"/>
    <x v="6"/>
    <n v="13"/>
    <x v="2"/>
    <x v="0"/>
    <x v="103"/>
    <n v="552.5"/>
    <d v="2026-04-01T00:00:00"/>
    <x v="0"/>
  </r>
  <r>
    <s v="TXN-1143"/>
    <s v="2026-01-25"/>
    <x v="5"/>
    <n v="7"/>
    <x v="2"/>
    <x v="1"/>
    <x v="104"/>
    <n v="168"/>
    <d v="2026-01-01T00:00:00"/>
    <x v="8"/>
  </r>
  <r>
    <s v="TXN-1144"/>
    <s v="2026-03-16"/>
    <x v="16"/>
    <n v="4"/>
    <x v="2"/>
    <x v="1"/>
    <x v="73"/>
    <n v="39.96"/>
    <d v="2026-03-01T00:00:00"/>
    <x v="7"/>
  </r>
  <r>
    <s v="TXN-1145"/>
    <s v="2026-05-11"/>
    <x v="10"/>
    <n v="11"/>
    <x v="3"/>
    <x v="0"/>
    <x v="105"/>
    <n v="3849.8900000000003"/>
    <d v="2026-05-01T00:00:00"/>
    <x v="5"/>
  </r>
  <r>
    <s v="TXN-1146"/>
    <s v="03/29/2026"/>
    <x v="19"/>
    <n v="4"/>
    <x v="0"/>
    <x v="2"/>
    <x v="64"/>
    <n v="87.96"/>
    <d v="2026-03-01T00:00:00"/>
    <x v="7"/>
  </r>
  <r>
    <s v="TXN-1147"/>
    <s v="03/25/2026"/>
    <x v="22"/>
    <n v="14"/>
    <x v="3"/>
    <x v="1"/>
    <x v="106"/>
    <n v="699.86"/>
    <d v="2026-03-01T00:00:00"/>
    <x v="7"/>
  </r>
  <r>
    <s v="TXN-1148"/>
    <s v="2026-09-23"/>
    <x v="3"/>
    <n v="9"/>
    <x v="0"/>
    <x v="1"/>
    <x v="77"/>
    <n v="76.5"/>
    <d v="2026-09-01T00:00:00"/>
    <x v="1"/>
  </r>
  <r>
    <s v="TXN-1149"/>
    <s v="2026-07-30"/>
    <x v="1"/>
    <n v="8"/>
    <x v="1"/>
    <x v="2"/>
    <x v="32"/>
    <n v="1440"/>
    <d v="2026-07-01T00:00:00"/>
    <x v="2"/>
  </r>
  <r>
    <s v="TXN-1150"/>
    <s v="08/10/2026"/>
    <x v="3"/>
    <n v="13"/>
    <x v="3"/>
    <x v="0"/>
    <x v="107"/>
    <n v="110.5"/>
    <d v="2026-08-01T00:00:00"/>
    <x v="4"/>
  </r>
  <r>
    <s v="TXN-1151"/>
    <s v="2026-04-24"/>
    <x v="29"/>
    <n v="7"/>
    <x v="3"/>
    <x v="1"/>
    <x v="51"/>
    <n v="665"/>
    <d v="2026-04-01T00:00:00"/>
    <x v="0"/>
  </r>
  <r>
    <s v="TXN-1152"/>
    <s v="2026-08-09"/>
    <x v="9"/>
    <n v="12"/>
    <x v="3"/>
    <x v="2"/>
    <x v="108"/>
    <n v="419.88"/>
    <d v="2026-08-01T00:00:00"/>
    <x v="4"/>
  </r>
  <r>
    <s v="TXN-1153"/>
    <s v="03/13/2026"/>
    <x v="14"/>
    <n v="7"/>
    <x v="1"/>
    <x v="0"/>
    <x v="21"/>
    <n v="245"/>
    <d v="2026-03-01T00:00:00"/>
    <x v="7"/>
  </r>
  <r>
    <s v="TXN-1154"/>
    <s v="2026-09-30"/>
    <x v="6"/>
    <n v="12"/>
    <x v="1"/>
    <x v="1"/>
    <x v="109"/>
    <n v="510"/>
    <d v="2026-09-01T00:00:00"/>
    <x v="1"/>
  </r>
  <r>
    <s v="TXN-1155"/>
    <s v="2026-05-17"/>
    <x v="9"/>
    <n v="7"/>
    <x v="1"/>
    <x v="0"/>
    <x v="110"/>
    <n v="244.93"/>
    <d v="2026-05-01T00:00:00"/>
    <x v="5"/>
  </r>
  <r>
    <s v="TXN-1156"/>
    <s v="2026-06-25"/>
    <x v="20"/>
    <n v="5"/>
    <x v="1"/>
    <x v="0"/>
    <x v="111"/>
    <n v="399.95"/>
    <d v="2026-06-01T00:00:00"/>
    <x v="6"/>
  </r>
  <r>
    <s v="TXN-1157"/>
    <s v="2026-08-02"/>
    <x v="19"/>
    <n v="8"/>
    <x v="0"/>
    <x v="2"/>
    <x v="30"/>
    <n v="175.92"/>
    <d v="2026-08-01T00:00:00"/>
    <x v="4"/>
  </r>
  <r>
    <s v="TXN-1158"/>
    <s v="08/08/2026"/>
    <x v="9"/>
    <n v="6"/>
    <x v="2"/>
    <x v="2"/>
    <x v="112"/>
    <n v="209.94"/>
    <d v="2026-08-01T00:00:00"/>
    <x v="4"/>
  </r>
  <r>
    <s v="TXN-1159"/>
    <s v="2026-05-25"/>
    <x v="21"/>
    <n v="9"/>
    <x v="2"/>
    <x v="1"/>
    <x v="82"/>
    <n v="1169.9100000000001"/>
    <d v="2026-05-01T00:00:00"/>
    <x v="5"/>
  </r>
  <r>
    <s v="TXN-1160"/>
    <s v="2026-01-13"/>
    <x v="16"/>
    <n v="14"/>
    <x v="1"/>
    <x v="0"/>
    <x v="113"/>
    <n v="139.86000000000001"/>
    <d v="2026-01-01T00:00:00"/>
    <x v="8"/>
  </r>
  <r>
    <s v="TXN-1161"/>
    <s v="2026-07-27"/>
    <x v="26"/>
    <n v="13"/>
    <x v="0"/>
    <x v="1"/>
    <x v="83"/>
    <n v="585"/>
    <d v="2026-07-01T00:00:00"/>
    <x v="2"/>
  </r>
  <r>
    <s v="TXN-1162"/>
    <s v="06/20/2026"/>
    <x v="2"/>
    <n v="8"/>
    <x v="2"/>
    <x v="0"/>
    <x v="114"/>
    <n v="3992"/>
    <d v="2026-06-01T00:00:00"/>
    <x v="6"/>
  </r>
  <r>
    <s v="TXN-1163"/>
    <s v="2026-01-22"/>
    <x v="7"/>
    <n v="10"/>
    <x v="2"/>
    <x v="0"/>
    <x v="115"/>
    <n v="699.9"/>
    <d v="2026-01-01T00:00:00"/>
    <x v="8"/>
  </r>
  <r>
    <s v="TXN-1164"/>
    <s v="2026-05-07"/>
    <x v="0"/>
    <n v="10"/>
    <x v="1"/>
    <x v="2"/>
    <x v="116"/>
    <n v="275"/>
    <d v="2026-05-01T00:00:00"/>
    <x v="5"/>
  </r>
  <r>
    <s v="TXN-1165"/>
    <s v="2026-09-03"/>
    <x v="7"/>
    <n v="14"/>
    <x v="2"/>
    <x v="0"/>
    <x v="117"/>
    <n v="979.8599999999999"/>
    <d v="2026-09-01T00:00:00"/>
    <x v="1"/>
  </r>
  <r>
    <s v="TXN-1166"/>
    <s v="2026-06-29"/>
    <x v="26"/>
    <n v="4"/>
    <x v="3"/>
    <x v="0"/>
    <x v="57"/>
    <n v="180"/>
    <d v="2026-06-01T00:00:00"/>
    <x v="6"/>
  </r>
  <r>
    <s v="TXN-1167"/>
    <s v="2026-02-07"/>
    <x v="15"/>
    <n v="5"/>
    <x v="1"/>
    <x v="1"/>
    <x v="118"/>
    <n v="599.94999999999993"/>
    <d v="2026-02-01T00:00:00"/>
    <x v="3"/>
  </r>
  <r>
    <s v="TXN-1168"/>
    <s v="2026-07-06"/>
    <x v="11"/>
    <n v="2"/>
    <x v="0"/>
    <x v="0"/>
    <x v="16"/>
    <n v="90"/>
    <d v="2026-07-01T00:00:00"/>
    <x v="2"/>
  </r>
  <r>
    <s v="TXN-1169"/>
    <s v="2026-07-14"/>
    <x v="29"/>
    <n v="2"/>
    <x v="1"/>
    <x v="1"/>
    <x v="119"/>
    <n v="190"/>
    <d v="2026-07-01T00:00:00"/>
    <x v="2"/>
  </r>
  <r>
    <s v="TXN-1170"/>
    <s v="03/30/2026"/>
    <x v="25"/>
    <n v="12"/>
    <x v="2"/>
    <x v="1"/>
    <x v="120"/>
    <n v="227.88"/>
    <d v="2026-03-01T00:00:00"/>
    <x v="7"/>
  </r>
  <r>
    <s v="TXN-1171"/>
    <s v="02/05/2026"/>
    <x v="2"/>
    <n v="13"/>
    <x v="0"/>
    <x v="1"/>
    <x v="11"/>
    <n v="6487"/>
    <d v="2026-02-01T00:00:00"/>
    <x v="3"/>
  </r>
  <r>
    <s v="TXN-1172"/>
    <s v="2026-01-15"/>
    <x v="13"/>
    <n v="12"/>
    <x v="0"/>
    <x v="2"/>
    <x v="121"/>
    <n v="359.88"/>
    <d v="2026-01-01T00:00:00"/>
    <x v="8"/>
  </r>
  <r>
    <s v="TXN-1173"/>
    <s v="2026-03-13"/>
    <x v="18"/>
    <n v="12"/>
    <x v="1"/>
    <x v="2"/>
    <x v="21"/>
    <n v="239.88"/>
    <d v="2026-03-01T00:00:00"/>
    <x v="7"/>
  </r>
  <r>
    <s v="TXN-1174"/>
    <s v="2026-10-03"/>
    <x v="2"/>
    <n v="10"/>
    <x v="2"/>
    <x v="0"/>
    <x v="122"/>
    <n v="4990"/>
    <d v="2026-10-01T00:00:00"/>
    <x v="9"/>
  </r>
  <r>
    <s v="TXN-1175"/>
    <s v="2026-01-11"/>
    <x v="2"/>
    <n v="6"/>
    <x v="2"/>
    <x v="2"/>
    <x v="123"/>
    <n v="2994"/>
    <d v="2026-01-01T00:00:00"/>
    <x v="8"/>
  </r>
  <r>
    <s v="TXN-1176"/>
    <s v="2026-04-26"/>
    <x v="23"/>
    <n v="4"/>
    <x v="2"/>
    <x v="1"/>
    <x v="124"/>
    <n v="916"/>
    <d v="2026-04-01T00:00:00"/>
    <x v="0"/>
  </r>
  <r>
    <s v="TXN-1177"/>
    <s v="2026-03-28"/>
    <x v="11"/>
    <n v="8"/>
    <x v="0"/>
    <x v="1"/>
    <x v="125"/>
    <n v="360"/>
    <d v="2026-03-01T00:00:00"/>
    <x v="7"/>
  </r>
  <r>
    <s v="TXN-1178"/>
    <s v="2026-09-01"/>
    <x v="5"/>
    <n v="13"/>
    <x v="2"/>
    <x v="1"/>
    <x v="1"/>
    <n v="312"/>
    <d v="2026-09-01T00:00:00"/>
    <x v="1"/>
  </r>
  <r>
    <s v="TXN-1179"/>
    <s v="2026-02-13"/>
    <x v="15"/>
    <n v="6"/>
    <x v="3"/>
    <x v="1"/>
    <x v="37"/>
    <n v="719.93999999999994"/>
    <d v="2026-02-01T00:00:00"/>
    <x v="3"/>
  </r>
  <r>
    <s v="TXN-1180"/>
    <s v="2026-04-05"/>
    <x v="9"/>
    <n v="10"/>
    <x v="0"/>
    <x v="0"/>
    <x v="126"/>
    <n v="349.90000000000003"/>
    <d v="2026-04-01T00:00:00"/>
    <x v="0"/>
  </r>
  <r>
    <s v="TXN-1181"/>
    <s v="2026-05-03"/>
    <x v="4"/>
    <n v="7"/>
    <x v="0"/>
    <x v="0"/>
    <x v="127"/>
    <n v="209.92999999999998"/>
    <d v="2026-05-01T00:00:00"/>
    <x v="5"/>
  </r>
  <r>
    <s v="TXN-1182"/>
    <s v="2026-04-12"/>
    <x v="10"/>
    <n v="14"/>
    <x v="1"/>
    <x v="1"/>
    <x v="52"/>
    <n v="4899.8600000000006"/>
    <d v="2026-04-01T00:00:00"/>
    <x v="0"/>
  </r>
  <r>
    <s v="TXN-1183"/>
    <s v="2026-04-02"/>
    <x v="27"/>
    <n v="12"/>
    <x v="0"/>
    <x v="2"/>
    <x v="128"/>
    <n v="1079.8799999999999"/>
    <d v="2026-04-01T00:00:00"/>
    <x v="0"/>
  </r>
  <r>
    <s v="TXN-1184"/>
    <s v="2026-04-24"/>
    <x v="21"/>
    <n v="13"/>
    <x v="2"/>
    <x v="2"/>
    <x v="51"/>
    <n v="1689.8700000000001"/>
    <d v="2026-04-01T00:00:00"/>
    <x v="0"/>
  </r>
  <r>
    <s v="TXN-1185"/>
    <s v="2026-02-06"/>
    <x v="14"/>
    <n v="11"/>
    <x v="0"/>
    <x v="0"/>
    <x v="129"/>
    <n v="385"/>
    <d v="2026-02-01T00:00:00"/>
    <x v="3"/>
  </r>
  <r>
    <s v="TXN-1186"/>
    <s v="06/07/2026"/>
    <x v="28"/>
    <n v="4"/>
    <x v="3"/>
    <x v="1"/>
    <x v="130"/>
    <n v="359.96"/>
    <d v="2026-06-01T00:00:00"/>
    <x v="6"/>
  </r>
  <r>
    <s v="TXN-1187"/>
    <s v="2026-04-27"/>
    <x v="25"/>
    <n v="4"/>
    <x v="3"/>
    <x v="2"/>
    <x v="38"/>
    <n v="75.959999999999994"/>
    <d v="2026-04-01T00:00:00"/>
    <x v="0"/>
  </r>
  <r>
    <s v="TXN-1188"/>
    <s v="2026-05-06"/>
    <x v="5"/>
    <n v="10"/>
    <x v="2"/>
    <x v="2"/>
    <x v="6"/>
    <n v="240"/>
    <d v="2026-05-01T00:00:00"/>
    <x v="5"/>
  </r>
  <r>
    <s v="TXN-1189"/>
    <s v="2026-09-01"/>
    <x v="9"/>
    <n v="8"/>
    <x v="0"/>
    <x v="0"/>
    <x v="1"/>
    <n v="279.92"/>
    <d v="2026-09-01T00:00:00"/>
    <x v="1"/>
  </r>
  <r>
    <s v="TXN-1190"/>
    <s v="09/13/2026"/>
    <x v="9"/>
    <n v="2"/>
    <x v="1"/>
    <x v="0"/>
    <x v="131"/>
    <n v="69.98"/>
    <d v="2026-09-01T00:00:00"/>
    <x v="1"/>
  </r>
  <r>
    <s v="TXN-1191"/>
    <s v="2026-07-28"/>
    <x v="25"/>
    <n v="6"/>
    <x v="1"/>
    <x v="0"/>
    <x v="132"/>
    <n v="113.94"/>
    <d v="2026-07-01T00:00:00"/>
    <x v="2"/>
  </r>
  <r>
    <s v="TXN-1192"/>
    <s v="2026-03-13"/>
    <x v="1"/>
    <n v="10"/>
    <x v="1"/>
    <x v="2"/>
    <x v="21"/>
    <n v="1800"/>
    <d v="2026-03-01T00:00:00"/>
    <x v="7"/>
  </r>
  <r>
    <s v="TXN-1193"/>
    <s v="2026-02-23"/>
    <x v="24"/>
    <n v="4"/>
    <x v="3"/>
    <x v="2"/>
    <x v="97"/>
    <n v="60"/>
    <d v="2026-02-01T00:00:00"/>
    <x v="3"/>
  </r>
  <r>
    <s v="TXN-1194"/>
    <s v="2026-07-06"/>
    <x v="5"/>
    <n v="13"/>
    <x v="1"/>
    <x v="1"/>
    <x v="16"/>
    <n v="312"/>
    <d v="2026-07-01T00:00:00"/>
    <x v="2"/>
  </r>
  <r>
    <s v="TXN-1195"/>
    <s v="2026-08-29"/>
    <x v="10"/>
    <n v="10"/>
    <x v="0"/>
    <x v="1"/>
    <x v="133"/>
    <n v="3499.9"/>
    <d v="2026-08-01T00:00:00"/>
    <x v="4"/>
  </r>
  <r>
    <s v="TXN-1196"/>
    <s v="2026-05-12"/>
    <x v="11"/>
    <n v="1"/>
    <x v="2"/>
    <x v="0"/>
    <x v="27"/>
    <n v="45"/>
    <d v="2026-05-01T00:00:00"/>
    <x v="5"/>
  </r>
  <r>
    <s v="TXN-1197"/>
    <s v="2026-04-07"/>
    <x v="4"/>
    <n v="3"/>
    <x v="2"/>
    <x v="1"/>
    <x v="134"/>
    <n v="89.97"/>
    <d v="2026-04-01T00:00:00"/>
    <x v="0"/>
  </r>
  <r>
    <s v="TXN-1198"/>
    <s v="07/15/2026"/>
    <x v="0"/>
    <n v="7"/>
    <x v="0"/>
    <x v="1"/>
    <x v="135"/>
    <n v="192.5"/>
    <d v="2026-07-01T00:00:00"/>
    <x v="2"/>
  </r>
  <r>
    <s v="TXN-1199"/>
    <s v="2026-07-04"/>
    <x v="24"/>
    <n v="5"/>
    <x v="3"/>
    <x v="1"/>
    <x v="13"/>
    <n v="75"/>
    <d v="2026-07-01T00:00:00"/>
    <x v="2"/>
  </r>
  <r>
    <s v="TXN-1200"/>
    <s v="2026-06-28"/>
    <x v="16"/>
    <n v="4"/>
    <x v="3"/>
    <x v="1"/>
    <x v="136"/>
    <n v="39.96"/>
    <d v="2026-06-01T00:00:00"/>
    <x v="6"/>
  </r>
  <r>
    <s v="TXN-1201"/>
    <s v="2026-08-27"/>
    <x v="19"/>
    <n v="13"/>
    <x v="2"/>
    <x v="2"/>
    <x v="137"/>
    <n v="285.87"/>
    <d v="2026-08-01T00:00:00"/>
    <x v="4"/>
  </r>
  <r>
    <s v="TXN-1202"/>
    <s v="2026-06-18"/>
    <x v="24"/>
    <n v="11"/>
    <x v="1"/>
    <x v="2"/>
    <x v="138"/>
    <n v="165"/>
    <d v="2026-06-01T00:00:00"/>
    <x v="6"/>
  </r>
  <r>
    <s v="TXN-1203"/>
    <s v="2026-07-06"/>
    <x v="29"/>
    <n v="9"/>
    <x v="1"/>
    <x v="2"/>
    <x v="16"/>
    <n v="855"/>
    <d v="2026-07-01T00:00:00"/>
    <x v="2"/>
  </r>
  <r>
    <s v="TXN-1204"/>
    <s v="2026-09-30"/>
    <x v="9"/>
    <n v="12"/>
    <x v="3"/>
    <x v="0"/>
    <x v="109"/>
    <n v="419.88"/>
    <d v="2026-09-01T00:00:00"/>
    <x v="1"/>
  </r>
  <r>
    <s v="TXN-1205"/>
    <s v="2026-01-19"/>
    <x v="8"/>
    <n v="4"/>
    <x v="1"/>
    <x v="2"/>
    <x v="139"/>
    <n v="559.96"/>
    <d v="2026-01-01T00:00:00"/>
    <x v="8"/>
  </r>
  <r>
    <s v="TXN-1206"/>
    <s v="2026-05-09"/>
    <x v="17"/>
    <n v="12"/>
    <x v="2"/>
    <x v="2"/>
    <x v="140"/>
    <n v="719.88"/>
    <d v="2026-05-01T00:00:00"/>
    <x v="5"/>
  </r>
  <r>
    <s v="TXN-1207"/>
    <s v="05/20/2026"/>
    <x v="18"/>
    <n v="14"/>
    <x v="2"/>
    <x v="2"/>
    <x v="141"/>
    <n v="279.85999999999996"/>
    <d v="2026-05-01T00:00:00"/>
    <x v="5"/>
  </r>
  <r>
    <s v="TXN-1208"/>
    <s v="2026-07-11"/>
    <x v="2"/>
    <n v="10"/>
    <x v="3"/>
    <x v="2"/>
    <x v="142"/>
    <n v="4990"/>
    <d v="2026-07-01T00:00:00"/>
    <x v="2"/>
  </r>
  <r>
    <s v="TXN-1209"/>
    <s v="2026-09-24"/>
    <x v="1"/>
    <n v="2"/>
    <x v="3"/>
    <x v="0"/>
    <x v="143"/>
    <n v="360"/>
    <d v="2026-09-01T00:00:00"/>
    <x v="1"/>
  </r>
  <r>
    <s v="TXN-1210"/>
    <s v="2026-05-10"/>
    <x v="26"/>
    <n v="7"/>
    <x v="3"/>
    <x v="2"/>
    <x v="144"/>
    <n v="315"/>
    <d v="2026-05-01T00:00:00"/>
    <x v="5"/>
  </r>
  <r>
    <s v="TXN-1211"/>
    <s v="09/03/2026"/>
    <x v="29"/>
    <n v="9"/>
    <x v="1"/>
    <x v="1"/>
    <x v="117"/>
    <n v="855"/>
    <d v="2026-09-01T00:00:00"/>
    <x v="1"/>
  </r>
  <r>
    <s v="TXN-1212"/>
    <s v="02/01/2026"/>
    <x v="9"/>
    <n v="1"/>
    <x v="0"/>
    <x v="1"/>
    <x v="63"/>
    <n v="34.99"/>
    <d v="2026-02-01T00:00:00"/>
    <x v="3"/>
  </r>
  <r>
    <s v="TXN-1213"/>
    <s v="2026-07-05"/>
    <x v="12"/>
    <n v="11"/>
    <x v="2"/>
    <x v="1"/>
    <x v="145"/>
    <n v="439.89000000000004"/>
    <d v="2026-07-01T00:00:00"/>
    <x v="2"/>
  </r>
  <r>
    <s v="TXN-1214"/>
    <s v="2026-09-12"/>
    <x v="21"/>
    <n v="8"/>
    <x v="1"/>
    <x v="0"/>
    <x v="146"/>
    <n v="1039.92"/>
    <d v="2026-09-01T00:00:00"/>
    <x v="1"/>
  </r>
  <r>
    <s v="TXN-1215"/>
    <s v="2026-09-12"/>
    <x v="29"/>
    <n v="5"/>
    <x v="2"/>
    <x v="1"/>
    <x v="146"/>
    <n v="475"/>
    <d v="2026-09-01T00:00:00"/>
    <x v="1"/>
  </r>
  <r>
    <s v="TXN-1216"/>
    <s v="2026-04-09"/>
    <x v="3"/>
    <n v="4"/>
    <x v="0"/>
    <x v="1"/>
    <x v="46"/>
    <n v="34"/>
    <d v="2026-04-01T00:00:00"/>
    <x v="0"/>
  </r>
  <r>
    <s v="TXN-1217"/>
    <s v="2026-08-03"/>
    <x v="7"/>
    <n v="14"/>
    <x v="2"/>
    <x v="1"/>
    <x v="17"/>
    <n v="979.8599999999999"/>
    <d v="2026-08-01T00:00:00"/>
    <x v="4"/>
  </r>
  <r>
    <s v="TXN-1218"/>
    <s v="2026-03-31"/>
    <x v="27"/>
    <n v="3"/>
    <x v="2"/>
    <x v="2"/>
    <x v="147"/>
    <n v="269.96999999999997"/>
    <d v="2026-03-01T00:00:00"/>
    <x v="7"/>
  </r>
  <r>
    <s v="TXN-1219"/>
    <s v="04/24/2026"/>
    <x v="27"/>
    <n v="4"/>
    <x v="0"/>
    <x v="1"/>
    <x v="51"/>
    <n v="359.96"/>
    <d v="2026-04-01T00:00:00"/>
    <x v="0"/>
  </r>
  <r>
    <s v="TXN-1220"/>
    <s v="2026-07-13"/>
    <x v="29"/>
    <n v="4"/>
    <x v="2"/>
    <x v="2"/>
    <x v="148"/>
    <n v="380"/>
    <d v="2026-07-01T00:00:00"/>
    <x v="2"/>
  </r>
  <r>
    <s v="TXN-1221"/>
    <s v="2026-05-21"/>
    <x v="28"/>
    <n v="13"/>
    <x v="2"/>
    <x v="2"/>
    <x v="149"/>
    <n v="1169.8699999999999"/>
    <d v="2026-05-01T00:00:00"/>
    <x v="5"/>
  </r>
  <r>
    <s v="TXN-1222"/>
    <s v="2026-02-24"/>
    <x v="1"/>
    <n v="5"/>
    <x v="0"/>
    <x v="1"/>
    <x v="150"/>
    <n v="900"/>
    <d v="2026-02-01T00:00:00"/>
    <x v="3"/>
  </r>
  <r>
    <s v="TXN-1223"/>
    <s v="2026-09-03"/>
    <x v="1"/>
    <n v="12"/>
    <x v="3"/>
    <x v="0"/>
    <x v="117"/>
    <n v="2160"/>
    <d v="2026-09-01T00:00:00"/>
    <x v="1"/>
  </r>
  <r>
    <s v="TXN-1224"/>
    <s v="2026-08-02"/>
    <x v="4"/>
    <n v="9"/>
    <x v="0"/>
    <x v="2"/>
    <x v="30"/>
    <n v="269.90999999999997"/>
    <d v="2026-08-01T00:00:00"/>
    <x v="4"/>
  </r>
  <r>
    <s v="TXN-1225"/>
    <s v="07/19/2026"/>
    <x v="5"/>
    <n v="14"/>
    <x v="1"/>
    <x v="1"/>
    <x v="56"/>
    <n v="336"/>
    <d v="2026-07-01T00:00:00"/>
    <x v="2"/>
  </r>
  <r>
    <s v="TXN-1226"/>
    <s v="2026-01-17"/>
    <x v="14"/>
    <n v="1"/>
    <x v="0"/>
    <x v="2"/>
    <x v="31"/>
    <n v="35"/>
    <d v="2026-01-01T00:00:00"/>
    <x v="8"/>
  </r>
  <r>
    <s v="TXN-1227"/>
    <s v="2026-01-04"/>
    <x v="24"/>
    <n v="1"/>
    <x v="0"/>
    <x v="2"/>
    <x v="151"/>
    <n v="15"/>
    <d v="2026-01-01T00:00:00"/>
    <x v="8"/>
  </r>
  <r>
    <s v="TXN-1228"/>
    <s v="2026-09-15"/>
    <x v="14"/>
    <n v="7"/>
    <x v="3"/>
    <x v="1"/>
    <x v="14"/>
    <n v="245"/>
    <d v="2026-09-01T00:00:00"/>
    <x v="1"/>
  </r>
  <r>
    <s v="TXN-1229"/>
    <s v="2026-04-26"/>
    <x v="6"/>
    <n v="1"/>
    <x v="1"/>
    <x v="2"/>
    <x v="124"/>
    <n v="42.5"/>
    <d v="2026-04-01T00:00:00"/>
    <x v="0"/>
  </r>
  <r>
    <s v="TXN-1230"/>
    <s v="2026-10-05"/>
    <x v="1"/>
    <n v="13"/>
    <x v="0"/>
    <x v="1"/>
    <x v="45"/>
    <n v="2340"/>
    <d v="2026-10-01T00:00:00"/>
    <x v="9"/>
  </r>
  <r>
    <s v="TXN-1231"/>
    <s v="2026-05-08"/>
    <x v="17"/>
    <n v="2"/>
    <x v="0"/>
    <x v="0"/>
    <x v="7"/>
    <n v="119.98"/>
    <d v="2026-05-01T00:00:00"/>
    <x v="5"/>
  </r>
  <r>
    <s v="TXN-1232"/>
    <s v="2026-04-21"/>
    <x v="0"/>
    <n v="3"/>
    <x v="2"/>
    <x v="2"/>
    <x v="152"/>
    <n v="82.5"/>
    <d v="2026-04-01T00:00:00"/>
    <x v="0"/>
  </r>
  <r>
    <s v="TXN-1233"/>
    <s v="2026-08-06"/>
    <x v="22"/>
    <n v="11"/>
    <x v="1"/>
    <x v="2"/>
    <x v="153"/>
    <n v="549.89"/>
    <d v="2026-08-01T00:00:00"/>
    <x v="4"/>
  </r>
  <r>
    <s v="TXN-1234"/>
    <s v="2026-04-27"/>
    <x v="20"/>
    <n v="14"/>
    <x v="3"/>
    <x v="2"/>
    <x v="38"/>
    <n v="1119.8599999999999"/>
    <d v="2026-04-01T00:00:00"/>
    <x v="0"/>
  </r>
  <r>
    <s v="TXN-1235"/>
    <s v="2026-03-14"/>
    <x v="29"/>
    <n v="13"/>
    <x v="2"/>
    <x v="1"/>
    <x v="154"/>
    <n v="1235"/>
    <d v="2026-03-01T00:00:00"/>
    <x v="7"/>
  </r>
  <r>
    <s v="TXN-1236"/>
    <s v="2026-02-22"/>
    <x v="22"/>
    <n v="3"/>
    <x v="1"/>
    <x v="0"/>
    <x v="155"/>
    <n v="149.97"/>
    <d v="2026-02-01T00:00:00"/>
    <x v="3"/>
  </r>
  <r>
    <s v="TXN-1237"/>
    <s v="2026-08-31"/>
    <x v="21"/>
    <n v="2"/>
    <x v="3"/>
    <x v="0"/>
    <x v="48"/>
    <n v="259.98"/>
    <d v="2026-08-01T00:00:00"/>
    <x v="4"/>
  </r>
  <r>
    <s v="TXN-1238"/>
    <s v="2026-05-12"/>
    <x v="11"/>
    <n v="9"/>
    <x v="2"/>
    <x v="1"/>
    <x v="27"/>
    <n v="405"/>
    <d v="2026-05-01T00:00:00"/>
    <x v="5"/>
  </r>
  <r>
    <s v="TXN-1239"/>
    <s v="2026-03-07"/>
    <x v="3"/>
    <n v="5"/>
    <x v="2"/>
    <x v="2"/>
    <x v="65"/>
    <n v="42.5"/>
    <d v="2026-03-01T00:00:00"/>
    <x v="7"/>
  </r>
  <r>
    <s v="TXN-1240"/>
    <s v="2026-09-27"/>
    <x v="3"/>
    <n v="12"/>
    <x v="0"/>
    <x v="0"/>
    <x v="74"/>
    <n v="102"/>
    <d v="2026-09-01T00:00:00"/>
    <x v="1"/>
  </r>
  <r>
    <s v="TXN-1241"/>
    <s v="09/27/2026"/>
    <x v="20"/>
    <n v="10"/>
    <x v="3"/>
    <x v="2"/>
    <x v="74"/>
    <n v="799.9"/>
    <d v="2026-09-01T00:00:00"/>
    <x v="1"/>
  </r>
  <r>
    <s v="TXN-1242"/>
    <s v="2026-03-03"/>
    <x v="21"/>
    <n v="6"/>
    <x v="0"/>
    <x v="0"/>
    <x v="156"/>
    <n v="779.94"/>
    <d v="2026-03-01T00:00:00"/>
    <x v="7"/>
  </r>
  <r>
    <s v="TXN-1243"/>
    <s v="2026-01-03"/>
    <x v="25"/>
    <n v="2"/>
    <x v="3"/>
    <x v="0"/>
    <x v="157"/>
    <n v="37.979999999999997"/>
    <d v="2026-01-01T00:00:00"/>
    <x v="8"/>
  </r>
  <r>
    <s v="TXN-1244"/>
    <s v="04/25/2026"/>
    <x v="5"/>
    <n v="13"/>
    <x v="1"/>
    <x v="2"/>
    <x v="43"/>
    <n v="312"/>
    <d v="2026-04-01T00:00:00"/>
    <x v="0"/>
  </r>
  <r>
    <s v="TXN-1245"/>
    <s v="2026-04-17"/>
    <x v="24"/>
    <n v="6"/>
    <x v="2"/>
    <x v="1"/>
    <x v="41"/>
    <n v="90"/>
    <d v="2026-04-01T00:00:00"/>
    <x v="0"/>
  </r>
  <r>
    <s v="TXN-1246"/>
    <s v="09/03/2026"/>
    <x v="9"/>
    <n v="11"/>
    <x v="2"/>
    <x v="0"/>
    <x v="117"/>
    <n v="384.89000000000004"/>
    <d v="2026-09-01T00:00:00"/>
    <x v="1"/>
  </r>
  <r>
    <s v="TXN-1247"/>
    <s v="2026-07-11"/>
    <x v="11"/>
    <n v="10"/>
    <x v="3"/>
    <x v="0"/>
    <x v="142"/>
    <n v="450"/>
    <d v="2026-07-01T00:00:00"/>
    <x v="2"/>
  </r>
  <r>
    <s v="TXN-1248"/>
    <s v="07/27/2026"/>
    <x v="28"/>
    <n v="10"/>
    <x v="1"/>
    <x v="0"/>
    <x v="83"/>
    <n v="899.9"/>
    <d v="2026-07-01T00:00:00"/>
    <x v="2"/>
  </r>
  <r>
    <s v="TXN-1249"/>
    <s v="2026-03-17"/>
    <x v="14"/>
    <n v="5"/>
    <x v="1"/>
    <x v="2"/>
    <x v="158"/>
    <n v="175"/>
    <d v="2026-03-01T00:00:00"/>
    <x v="7"/>
  </r>
  <r>
    <s v="TXN-1250"/>
    <s v="2026-01-20"/>
    <x v="14"/>
    <n v="4"/>
    <x v="0"/>
    <x v="2"/>
    <x v="101"/>
    <n v="140"/>
    <d v="2026-01-01T00:00:00"/>
    <x v="8"/>
  </r>
  <r>
    <s v="TXN-1251"/>
    <s v="2026-04-14"/>
    <x v="29"/>
    <n v="1"/>
    <x v="2"/>
    <x v="0"/>
    <x v="8"/>
    <n v="95"/>
    <d v="2026-04-01T00:00:00"/>
    <x v="0"/>
  </r>
  <r>
    <s v="TXN-1252"/>
    <s v="2026-01-04"/>
    <x v="24"/>
    <n v="13"/>
    <x v="2"/>
    <x v="2"/>
    <x v="151"/>
    <n v="195"/>
    <d v="2026-01-01T00:00:00"/>
    <x v="8"/>
  </r>
  <r>
    <s v="TXN-1253"/>
    <s v="2026-01-19"/>
    <x v="3"/>
    <n v="4"/>
    <x v="3"/>
    <x v="1"/>
    <x v="139"/>
    <n v="34"/>
    <d v="2026-01-01T00:00:00"/>
    <x v="8"/>
  </r>
  <r>
    <s v="TXN-1254"/>
    <s v="2026-05-17"/>
    <x v="19"/>
    <n v="10"/>
    <x v="1"/>
    <x v="2"/>
    <x v="110"/>
    <n v="219.89999999999998"/>
    <d v="2026-05-01T00:00:00"/>
    <x v="5"/>
  </r>
  <r>
    <s v="TXN-1255"/>
    <s v="07/10/2026"/>
    <x v="28"/>
    <n v="4"/>
    <x v="1"/>
    <x v="1"/>
    <x v="60"/>
    <n v="359.96"/>
    <d v="2026-07-01T00:00:00"/>
    <x v="2"/>
  </r>
  <r>
    <s v="TXN-1256"/>
    <s v="2026-06-15"/>
    <x v="12"/>
    <n v="6"/>
    <x v="3"/>
    <x v="1"/>
    <x v="159"/>
    <n v="239.94"/>
    <d v="2026-06-01T00:00:00"/>
    <x v="6"/>
  </r>
  <r>
    <s v="TXN-1257"/>
    <s v="2026-05-31"/>
    <x v="20"/>
    <n v="7"/>
    <x v="2"/>
    <x v="1"/>
    <x v="160"/>
    <n v="559.92999999999995"/>
    <d v="2026-05-01T00:00:00"/>
    <x v="5"/>
  </r>
  <r>
    <s v="TXN-1258"/>
    <s v="2026-06-07"/>
    <x v="27"/>
    <n v="10"/>
    <x v="1"/>
    <x v="0"/>
    <x v="130"/>
    <n v="899.9"/>
    <d v="2026-06-01T00:00:00"/>
    <x v="6"/>
  </r>
  <r>
    <s v="TXN-1259"/>
    <s v="2026-07-29"/>
    <x v="1"/>
    <n v="4"/>
    <x v="2"/>
    <x v="1"/>
    <x v="161"/>
    <n v="720"/>
    <d v="2026-07-01T00:00:00"/>
    <x v="2"/>
  </r>
  <r>
    <s v="TXN-1260"/>
    <s v="2026-04-22"/>
    <x v="16"/>
    <n v="14"/>
    <x v="1"/>
    <x v="2"/>
    <x v="162"/>
    <n v="139.86000000000001"/>
    <d v="2026-04-01T00:00:00"/>
    <x v="0"/>
  </r>
  <r>
    <s v="TXN-1261"/>
    <s v="2026-02-08"/>
    <x v="4"/>
    <n v="10"/>
    <x v="2"/>
    <x v="0"/>
    <x v="93"/>
    <n v="299.89999999999998"/>
    <d v="2026-02-01T00:00:00"/>
    <x v="3"/>
  </r>
  <r>
    <s v="TXN-1262"/>
    <s v="2026-07-19"/>
    <x v="28"/>
    <n v="14"/>
    <x v="0"/>
    <x v="1"/>
    <x v="56"/>
    <n v="1259.8599999999999"/>
    <d v="2026-07-01T00:00:00"/>
    <x v="2"/>
  </r>
  <r>
    <s v="TXN-1263"/>
    <s v="2026-06-01"/>
    <x v="13"/>
    <n v="10"/>
    <x v="2"/>
    <x v="0"/>
    <x v="69"/>
    <n v="299.89999999999998"/>
    <d v="2026-06-01T00:00:00"/>
    <x v="6"/>
  </r>
  <r>
    <s v="TXN-1264"/>
    <s v="2026-05-01"/>
    <x v="3"/>
    <n v="13"/>
    <x v="1"/>
    <x v="0"/>
    <x v="163"/>
    <n v="110.5"/>
    <d v="2026-05-01T00:00:00"/>
    <x v="5"/>
  </r>
  <r>
    <s v="TXN-1265"/>
    <s v="2026-08-23"/>
    <x v="23"/>
    <n v="12"/>
    <x v="0"/>
    <x v="0"/>
    <x v="164"/>
    <n v="2748"/>
    <d v="2026-08-01T00:00:00"/>
    <x v="4"/>
  </r>
  <r>
    <s v="TXN-1266"/>
    <s v="2026-08-11"/>
    <x v="14"/>
    <n v="2"/>
    <x v="2"/>
    <x v="1"/>
    <x v="165"/>
    <n v="70"/>
    <d v="2026-08-01T00:00:00"/>
    <x v="4"/>
  </r>
  <r>
    <s v="TXN-1267"/>
    <s v="2026-02-21"/>
    <x v="20"/>
    <n v="7"/>
    <x v="2"/>
    <x v="2"/>
    <x v="166"/>
    <n v="559.92999999999995"/>
    <d v="2026-02-01T00:00:00"/>
    <x v="3"/>
  </r>
  <r>
    <s v="TXN-1268"/>
    <s v="2026-04-13"/>
    <x v="25"/>
    <n v="8"/>
    <x v="0"/>
    <x v="0"/>
    <x v="0"/>
    <n v="151.91999999999999"/>
    <d v="2026-04-01T00:00:00"/>
    <x v="0"/>
  </r>
  <r>
    <s v="TXN-1269"/>
    <s v="2026-02-08"/>
    <x v="19"/>
    <n v="4"/>
    <x v="0"/>
    <x v="0"/>
    <x v="93"/>
    <n v="87.96"/>
    <d v="2026-02-01T00:00:00"/>
    <x v="3"/>
  </r>
  <r>
    <s v="TXN-1270"/>
    <s v="2026-06-09"/>
    <x v="20"/>
    <n v="7"/>
    <x v="3"/>
    <x v="2"/>
    <x v="44"/>
    <n v="559.92999999999995"/>
    <d v="2026-06-01T00:00:00"/>
    <x v="6"/>
  </r>
  <r>
    <s v="TXN-1271"/>
    <s v="2026-06-13"/>
    <x v="5"/>
    <n v="14"/>
    <x v="3"/>
    <x v="0"/>
    <x v="62"/>
    <n v="336"/>
    <d v="2026-06-01T00:00:00"/>
    <x v="6"/>
  </r>
  <r>
    <s v="TXN-1272"/>
    <s v="2026-01-15"/>
    <x v="18"/>
    <n v="2"/>
    <x v="0"/>
    <x v="1"/>
    <x v="121"/>
    <n v="39.979999999999997"/>
    <d v="2026-01-01T00:00:00"/>
    <x v="8"/>
  </r>
  <r>
    <s v="TXN-1273"/>
    <s v="2026-04-23"/>
    <x v="24"/>
    <n v="10"/>
    <x v="3"/>
    <x v="2"/>
    <x v="167"/>
    <n v="150"/>
    <d v="2026-04-01T00:00:00"/>
    <x v="0"/>
  </r>
  <r>
    <s v="TXN-1274"/>
    <s v="2026-03-27"/>
    <x v="18"/>
    <n v="2"/>
    <x v="2"/>
    <x v="1"/>
    <x v="168"/>
    <n v="39.979999999999997"/>
    <d v="2026-03-01T00:00:00"/>
    <x v="7"/>
  </r>
  <r>
    <s v="TXN-1275"/>
    <s v="2026-04-23"/>
    <x v="27"/>
    <n v="11"/>
    <x v="1"/>
    <x v="1"/>
    <x v="167"/>
    <n v="989.89"/>
    <d v="2026-04-01T00:00:00"/>
    <x v="0"/>
  </r>
  <r>
    <s v="TXN-1276"/>
    <s v="2026-08-04"/>
    <x v="27"/>
    <n v="2"/>
    <x v="0"/>
    <x v="0"/>
    <x v="50"/>
    <n v="179.98"/>
    <d v="2026-08-01T00:00:00"/>
    <x v="4"/>
  </r>
  <r>
    <s v="TXN-1277"/>
    <s v="2026-05-19"/>
    <x v="24"/>
    <n v="9"/>
    <x v="1"/>
    <x v="1"/>
    <x v="169"/>
    <n v="135"/>
    <d v="2026-05-01T00:00:00"/>
    <x v="5"/>
  </r>
  <r>
    <s v="TXN-1278"/>
    <s v="2026-03-25"/>
    <x v="11"/>
    <n v="11"/>
    <x v="0"/>
    <x v="0"/>
    <x v="106"/>
    <n v="495"/>
    <d v="2026-03-01T00:00:00"/>
    <x v="7"/>
  </r>
  <r>
    <s v="TXN-1279"/>
    <s v="2026-01-29"/>
    <x v="18"/>
    <n v="1"/>
    <x v="3"/>
    <x v="2"/>
    <x v="170"/>
    <n v="19.989999999999998"/>
    <d v="2026-01-01T00:00:00"/>
    <x v="8"/>
  </r>
  <r>
    <s v="TXN-1280"/>
    <s v="2026-06-17"/>
    <x v="18"/>
    <n v="1"/>
    <x v="2"/>
    <x v="1"/>
    <x v="171"/>
    <n v="19.989999999999998"/>
    <d v="2026-06-01T00:00:00"/>
    <x v="6"/>
  </r>
  <r>
    <s v="TXN-1281"/>
    <s v="2026-08-27"/>
    <x v="9"/>
    <n v="3"/>
    <x v="3"/>
    <x v="2"/>
    <x v="137"/>
    <n v="104.97"/>
    <d v="2026-08-01T00:00:00"/>
    <x v="4"/>
  </r>
  <r>
    <s v="TXN-1282"/>
    <s v="2026-04-15"/>
    <x v="25"/>
    <n v="3"/>
    <x v="1"/>
    <x v="1"/>
    <x v="15"/>
    <n v="56.97"/>
    <d v="2026-04-01T00:00:00"/>
    <x v="0"/>
  </r>
  <r>
    <s v="TXN-1283"/>
    <s v="2026-04-11"/>
    <x v="5"/>
    <n v="7"/>
    <x v="1"/>
    <x v="2"/>
    <x v="172"/>
    <n v="168"/>
    <d v="2026-04-01T00:00:00"/>
    <x v="0"/>
  </r>
  <r>
    <s v="TXN-1284"/>
    <s v="2026-04-17"/>
    <x v="25"/>
    <n v="12"/>
    <x v="2"/>
    <x v="1"/>
    <x v="41"/>
    <n v="227.88"/>
    <d v="2026-04-01T00:00:00"/>
    <x v="0"/>
  </r>
  <r>
    <s v="TXN-1285"/>
    <s v="2026-02-12"/>
    <x v="14"/>
    <n v="2"/>
    <x v="3"/>
    <x v="1"/>
    <x v="95"/>
    <n v="70"/>
    <d v="2026-02-01T00:00:00"/>
    <x v="3"/>
  </r>
  <r>
    <s v="TXN-1286"/>
    <s v="2026-06-03"/>
    <x v="22"/>
    <n v="13"/>
    <x v="3"/>
    <x v="1"/>
    <x v="72"/>
    <n v="649.87"/>
    <d v="2026-06-01T00:00:00"/>
    <x v="6"/>
  </r>
  <r>
    <s v="TXN-1287"/>
    <s v="2026-07-13"/>
    <x v="11"/>
    <n v="13"/>
    <x v="3"/>
    <x v="0"/>
    <x v="148"/>
    <n v="585"/>
    <d v="2026-07-01T00:00:00"/>
    <x v="2"/>
  </r>
  <r>
    <s v="TXN-1288"/>
    <s v="2026-09-10"/>
    <x v="20"/>
    <n v="3"/>
    <x v="3"/>
    <x v="0"/>
    <x v="10"/>
    <n v="239.96999999999997"/>
    <d v="2026-09-01T00:00:00"/>
    <x v="1"/>
  </r>
  <r>
    <s v="TXN-1289"/>
    <s v="2026-04-20"/>
    <x v="22"/>
    <n v="5"/>
    <x v="2"/>
    <x v="1"/>
    <x v="173"/>
    <n v="249.95000000000002"/>
    <d v="2026-04-01T00:00:00"/>
    <x v="0"/>
  </r>
  <r>
    <s v="TXN-1290"/>
    <s v="2026-07-24"/>
    <x v="3"/>
    <n v="12"/>
    <x v="0"/>
    <x v="1"/>
    <x v="174"/>
    <n v="102"/>
    <d v="2026-07-01T00:00:00"/>
    <x v="2"/>
  </r>
  <r>
    <s v="TXN-1291"/>
    <s v="2026-09-12"/>
    <x v="4"/>
    <n v="9"/>
    <x v="0"/>
    <x v="2"/>
    <x v="146"/>
    <n v="269.90999999999997"/>
    <d v="2026-09-01T00:00:00"/>
    <x v="1"/>
  </r>
  <r>
    <s v="TXN-1292"/>
    <s v="2026-02-24"/>
    <x v="12"/>
    <n v="3"/>
    <x v="0"/>
    <x v="2"/>
    <x v="150"/>
    <n v="119.97"/>
    <d v="2026-02-01T00:00:00"/>
    <x v="3"/>
  </r>
  <r>
    <s v="TXN-1293"/>
    <s v="2026-03-17"/>
    <x v="3"/>
    <n v="11"/>
    <x v="1"/>
    <x v="1"/>
    <x v="158"/>
    <n v="93.5"/>
    <d v="2026-03-01T00:00:00"/>
    <x v="7"/>
  </r>
  <r>
    <s v="TXN-1294"/>
    <s v="2026-04-04"/>
    <x v="5"/>
    <n v="1"/>
    <x v="2"/>
    <x v="1"/>
    <x v="175"/>
    <n v="24"/>
    <d v="2026-04-01T00:00:00"/>
    <x v="0"/>
  </r>
  <r>
    <s v="TXN-1295"/>
    <s v="2026-07-26"/>
    <x v="8"/>
    <n v="4"/>
    <x v="0"/>
    <x v="2"/>
    <x v="176"/>
    <n v="559.96"/>
    <d v="2026-07-01T00:00:00"/>
    <x v="2"/>
  </r>
  <r>
    <s v="TXN-1296"/>
    <s v="2026-07-13"/>
    <x v="28"/>
    <n v="7"/>
    <x v="2"/>
    <x v="2"/>
    <x v="148"/>
    <n v="629.92999999999995"/>
    <d v="2026-07-01T00:00:00"/>
    <x v="2"/>
  </r>
  <r>
    <s v="TXN-1297"/>
    <s v="2026-09-23"/>
    <x v="28"/>
    <n v="9"/>
    <x v="2"/>
    <x v="1"/>
    <x v="77"/>
    <n v="809.91"/>
    <d v="2026-09-01T00:00:00"/>
    <x v="1"/>
  </r>
  <r>
    <s v="TXN-1298"/>
    <s v="2026-08-30"/>
    <x v="21"/>
    <n v="5"/>
    <x v="2"/>
    <x v="1"/>
    <x v="55"/>
    <n v="649.95000000000005"/>
    <d v="2026-08-01T00:00:00"/>
    <x v="4"/>
  </r>
  <r>
    <s v="TXN-1299"/>
    <s v="2026-07-11"/>
    <x v="14"/>
    <n v="4"/>
    <x v="2"/>
    <x v="2"/>
    <x v="142"/>
    <n v="140"/>
    <d v="2026-07-01T00:00:00"/>
    <x v="2"/>
  </r>
  <r>
    <s v="TXN-1300"/>
    <s v="09/30/2026"/>
    <x v="22"/>
    <n v="6"/>
    <x v="2"/>
    <x v="2"/>
    <x v="109"/>
    <n v="299.94"/>
    <d v="2026-09-01T00:00:00"/>
    <x v="1"/>
  </r>
  <r>
    <s v="TXN-1301"/>
    <s v="2026-06-18"/>
    <x v="27"/>
    <n v="8"/>
    <x v="3"/>
    <x v="2"/>
    <x v="138"/>
    <n v="719.92"/>
    <d v="2026-06-01T00:00:00"/>
    <x v="6"/>
  </r>
  <r>
    <s v="TXN-1302"/>
    <s v="2026-08-22"/>
    <x v="24"/>
    <n v="2"/>
    <x v="2"/>
    <x v="1"/>
    <x v="80"/>
    <n v="30"/>
    <d v="2026-08-01T00:00:00"/>
    <x v="4"/>
  </r>
  <r>
    <s v="TXN-1303"/>
    <s v="2026-03-15"/>
    <x v="3"/>
    <n v="10"/>
    <x v="2"/>
    <x v="2"/>
    <x v="177"/>
    <n v="85"/>
    <d v="2026-03-01T00:00:00"/>
    <x v="7"/>
  </r>
  <r>
    <s v="TXN-1304"/>
    <s v="2026-03-01"/>
    <x v="28"/>
    <n v="13"/>
    <x v="2"/>
    <x v="1"/>
    <x v="178"/>
    <n v="1169.8699999999999"/>
    <d v="2026-03-01T00:00:00"/>
    <x v="7"/>
  </r>
  <r>
    <s v="TXN-1305"/>
    <s v="2026-05-25"/>
    <x v="10"/>
    <n v="14"/>
    <x v="3"/>
    <x v="2"/>
    <x v="82"/>
    <n v="4899.8600000000006"/>
    <d v="2026-05-01T00:00:00"/>
    <x v="5"/>
  </r>
  <r>
    <s v="TXN-1306"/>
    <s v="2026-09-28"/>
    <x v="6"/>
    <n v="6"/>
    <x v="3"/>
    <x v="0"/>
    <x v="179"/>
    <n v="255"/>
    <d v="2026-09-01T00:00:00"/>
    <x v="1"/>
  </r>
  <r>
    <s v="TXN-1307"/>
    <s v="2026-04-25"/>
    <x v="21"/>
    <n v="14"/>
    <x v="2"/>
    <x v="2"/>
    <x v="43"/>
    <n v="1819.8600000000001"/>
    <d v="2026-04-01T00:00:00"/>
    <x v="0"/>
  </r>
  <r>
    <s v="TXN-1308"/>
    <s v="2026-07-14"/>
    <x v="27"/>
    <n v="12"/>
    <x v="0"/>
    <x v="1"/>
    <x v="119"/>
    <n v="1079.8799999999999"/>
    <d v="2026-07-01T00:00:00"/>
    <x v="2"/>
  </r>
  <r>
    <s v="TXN-1309"/>
    <s v="2026-09-11"/>
    <x v="4"/>
    <n v="1"/>
    <x v="1"/>
    <x v="0"/>
    <x v="67"/>
    <n v="29.99"/>
    <d v="2026-09-01T00:00:00"/>
    <x v="1"/>
  </r>
  <r>
    <s v="TXN-1310"/>
    <s v="2026-03-15"/>
    <x v="11"/>
    <n v="5"/>
    <x v="2"/>
    <x v="2"/>
    <x v="177"/>
    <n v="225"/>
    <d v="2026-03-01T00:00:00"/>
    <x v="7"/>
  </r>
  <r>
    <s v="TXN-1311"/>
    <s v="2026-05-02"/>
    <x v="15"/>
    <n v="9"/>
    <x v="1"/>
    <x v="1"/>
    <x v="180"/>
    <n v="1079.9099999999999"/>
    <d v="2026-05-01T00:00:00"/>
    <x v="5"/>
  </r>
  <r>
    <s v="TXN-1312"/>
    <s v="07/24/2026"/>
    <x v="1"/>
    <n v="1"/>
    <x v="1"/>
    <x v="2"/>
    <x v="174"/>
    <n v="180"/>
    <d v="2026-07-01T00:00:00"/>
    <x v="2"/>
  </r>
  <r>
    <s v="TXN-1313"/>
    <s v="2026-05-12"/>
    <x v="18"/>
    <n v="8"/>
    <x v="2"/>
    <x v="1"/>
    <x v="27"/>
    <n v="159.91999999999999"/>
    <d v="2026-05-01T00:00:00"/>
    <x v="5"/>
  </r>
  <r>
    <s v="TXN-1314"/>
    <s v="2026-08-14"/>
    <x v="12"/>
    <n v="4"/>
    <x v="2"/>
    <x v="0"/>
    <x v="181"/>
    <n v="159.96"/>
    <d v="2026-08-01T00:00:00"/>
    <x v="4"/>
  </r>
  <r>
    <s v="TXN-1315"/>
    <s v="03/28/2026"/>
    <x v="25"/>
    <n v="8"/>
    <x v="2"/>
    <x v="2"/>
    <x v="125"/>
    <n v="151.91999999999999"/>
    <d v="2026-03-01T00:00:00"/>
    <x v="7"/>
  </r>
  <r>
    <s v="TXN-1316"/>
    <s v="2026-01-10"/>
    <x v="16"/>
    <n v="3"/>
    <x v="2"/>
    <x v="2"/>
    <x v="182"/>
    <n v="29.97"/>
    <d v="2026-01-01T00:00:00"/>
    <x v="8"/>
  </r>
  <r>
    <s v="TXN-1317"/>
    <s v="2026-05-16"/>
    <x v="27"/>
    <n v="5"/>
    <x v="1"/>
    <x v="0"/>
    <x v="183"/>
    <n v="449.95"/>
    <d v="2026-05-01T00:00:00"/>
    <x v="5"/>
  </r>
  <r>
    <s v="TXN-1318"/>
    <s v="09/26/2026"/>
    <x v="21"/>
    <n v="10"/>
    <x v="3"/>
    <x v="2"/>
    <x v="184"/>
    <n v="1299.9000000000001"/>
    <d v="2026-09-01T00:00:00"/>
    <x v="1"/>
  </r>
  <r>
    <s v="TXN-1319"/>
    <s v="2026-09-29"/>
    <x v="19"/>
    <n v="3"/>
    <x v="1"/>
    <x v="2"/>
    <x v="185"/>
    <n v="65.97"/>
    <d v="2026-09-01T00:00:00"/>
    <x v="1"/>
  </r>
  <r>
    <s v="TXN-1320"/>
    <s v="09/23/2026"/>
    <x v="7"/>
    <n v="8"/>
    <x v="3"/>
    <x v="2"/>
    <x v="77"/>
    <n v="559.91999999999996"/>
    <d v="2026-09-01T00:00:00"/>
    <x v="1"/>
  </r>
  <r>
    <s v="TXN-1321"/>
    <s v="08/08/2026"/>
    <x v="16"/>
    <n v="5"/>
    <x v="3"/>
    <x v="1"/>
    <x v="112"/>
    <n v="49.95"/>
    <d v="2026-08-01T00:00:00"/>
    <x v="4"/>
  </r>
  <r>
    <s v="TXN-1322"/>
    <s v="2026-04-22"/>
    <x v="23"/>
    <n v="5"/>
    <x v="3"/>
    <x v="1"/>
    <x v="162"/>
    <n v="1145"/>
    <d v="2026-04-01T00:00:00"/>
    <x v="0"/>
  </r>
  <r>
    <s v="TXN-1323"/>
    <s v="2026-02-28"/>
    <x v="1"/>
    <n v="8"/>
    <x v="3"/>
    <x v="0"/>
    <x v="90"/>
    <n v="1440"/>
    <d v="2026-02-01T00:00:00"/>
    <x v="3"/>
  </r>
  <r>
    <s v="TXN-1324"/>
    <s v="07/07/2026"/>
    <x v="16"/>
    <n v="14"/>
    <x v="2"/>
    <x v="2"/>
    <x v="84"/>
    <n v="139.86000000000001"/>
    <d v="2026-07-01T00:00:00"/>
    <x v="2"/>
  </r>
  <r>
    <s v="TXN-1325"/>
    <s v="2026-09-10"/>
    <x v="3"/>
    <n v="7"/>
    <x v="3"/>
    <x v="0"/>
    <x v="10"/>
    <n v="59.5"/>
    <d v="2026-09-01T00:00:00"/>
    <x v="1"/>
  </r>
  <r>
    <s v="TXN-1326"/>
    <s v="2026-08-13"/>
    <x v="5"/>
    <n v="1"/>
    <x v="0"/>
    <x v="2"/>
    <x v="186"/>
    <n v="24"/>
    <d v="2026-08-01T00:00:00"/>
    <x v="4"/>
  </r>
  <r>
    <s v="TXN-1327"/>
    <s v="2026-03-27"/>
    <x v="10"/>
    <n v="11"/>
    <x v="0"/>
    <x v="0"/>
    <x v="168"/>
    <n v="3849.8900000000003"/>
    <d v="2026-03-01T00:00:00"/>
    <x v="7"/>
  </r>
  <r>
    <s v="TXN-1328"/>
    <s v="2026-08-11"/>
    <x v="6"/>
    <n v="6"/>
    <x v="2"/>
    <x v="1"/>
    <x v="165"/>
    <n v="255"/>
    <d v="2026-08-01T00:00:00"/>
    <x v="4"/>
  </r>
  <r>
    <s v="TXN-1329"/>
    <s v="2026-01-17"/>
    <x v="10"/>
    <n v="7"/>
    <x v="0"/>
    <x v="2"/>
    <x v="31"/>
    <n v="2449.9300000000003"/>
    <d v="2026-01-01T00:00:00"/>
    <x v="8"/>
  </r>
  <r>
    <s v="TXN-1330"/>
    <s v="2026-05-07"/>
    <x v="2"/>
    <n v="1"/>
    <x v="2"/>
    <x v="0"/>
    <x v="116"/>
    <n v="499"/>
    <d v="2026-05-01T00:00:00"/>
    <x v="5"/>
  </r>
  <r>
    <s v="TXN-1331"/>
    <s v="2026-09-02"/>
    <x v="18"/>
    <n v="13"/>
    <x v="2"/>
    <x v="0"/>
    <x v="187"/>
    <n v="259.87"/>
    <d v="2026-09-01T00:00:00"/>
    <x v="1"/>
  </r>
  <r>
    <s v="TXN-1332"/>
    <s v="2026-06-03"/>
    <x v="3"/>
    <n v="7"/>
    <x v="3"/>
    <x v="2"/>
    <x v="72"/>
    <n v="59.5"/>
    <d v="2026-06-01T00:00:00"/>
    <x v="6"/>
  </r>
  <r>
    <s v="TXN-1333"/>
    <s v="2026-03-18"/>
    <x v="6"/>
    <n v="1"/>
    <x v="2"/>
    <x v="2"/>
    <x v="188"/>
    <n v="42.5"/>
    <d v="2026-03-01T00:00:00"/>
    <x v="7"/>
  </r>
  <r>
    <s v="TXN-1334"/>
    <s v="2026-10-06"/>
    <x v="8"/>
    <n v="4"/>
    <x v="3"/>
    <x v="2"/>
    <x v="189"/>
    <n v="559.96"/>
    <d v="2026-10-01T00:00:00"/>
    <x v="9"/>
  </r>
  <r>
    <s v="TXN-1335"/>
    <s v="2026-03-12"/>
    <x v="19"/>
    <n v="9"/>
    <x v="3"/>
    <x v="0"/>
    <x v="100"/>
    <n v="197.91"/>
    <d v="2026-03-01T00:00:00"/>
    <x v="7"/>
  </r>
  <r>
    <s v="TXN-1336"/>
    <s v="2026-01-12"/>
    <x v="12"/>
    <n v="7"/>
    <x v="3"/>
    <x v="1"/>
    <x v="190"/>
    <n v="279.93"/>
    <d v="2026-01-01T00:00:00"/>
    <x v="8"/>
  </r>
  <r>
    <s v="TXN-1337"/>
    <s v="2026-07-05"/>
    <x v="13"/>
    <n v="3"/>
    <x v="1"/>
    <x v="1"/>
    <x v="145"/>
    <n v="89.97"/>
    <d v="2026-07-01T00:00:00"/>
    <x v="2"/>
  </r>
  <r>
    <s v="TXN-1338"/>
    <s v="2026-05-05"/>
    <x v="9"/>
    <n v="6"/>
    <x v="3"/>
    <x v="1"/>
    <x v="191"/>
    <n v="209.94"/>
    <d v="2026-05-01T00:00:00"/>
    <x v="5"/>
  </r>
  <r>
    <s v="TXN-1339"/>
    <s v="2026-03-26"/>
    <x v="20"/>
    <n v="3"/>
    <x v="2"/>
    <x v="1"/>
    <x v="192"/>
    <n v="239.96999999999997"/>
    <d v="2026-03-01T00:00:00"/>
    <x v="7"/>
  </r>
  <r>
    <s v="TXN-1340"/>
    <s v="2026-04-23"/>
    <x v="28"/>
    <n v="7"/>
    <x v="0"/>
    <x v="0"/>
    <x v="167"/>
    <n v="629.92999999999995"/>
    <d v="2026-04-01T00:00:00"/>
    <x v="0"/>
  </r>
  <r>
    <s v="TXN-1341"/>
    <s v="2026-03-09"/>
    <x v="19"/>
    <n v="1"/>
    <x v="2"/>
    <x v="2"/>
    <x v="193"/>
    <n v="21.99"/>
    <d v="2026-03-01T00:00:00"/>
    <x v="7"/>
  </r>
  <r>
    <s v="TXN-1342"/>
    <s v="2026-07-29"/>
    <x v="21"/>
    <n v="3"/>
    <x v="2"/>
    <x v="0"/>
    <x v="161"/>
    <n v="389.97"/>
    <d v="2026-07-01T00:00:00"/>
    <x v="2"/>
  </r>
  <r>
    <s v="TXN-1343"/>
    <s v="2026-09-25"/>
    <x v="21"/>
    <n v="13"/>
    <x v="2"/>
    <x v="1"/>
    <x v="194"/>
    <n v="1689.8700000000001"/>
    <d v="2026-09-01T00:00:00"/>
    <x v="1"/>
  </r>
  <r>
    <s v="TXN-1344"/>
    <s v="2026-07-16"/>
    <x v="24"/>
    <n v="10"/>
    <x v="2"/>
    <x v="0"/>
    <x v="195"/>
    <n v="150"/>
    <d v="2026-07-01T00:00:00"/>
    <x v="2"/>
  </r>
  <r>
    <s v="TXN-1345"/>
    <s v="2026-01-29"/>
    <x v="28"/>
    <n v="12"/>
    <x v="2"/>
    <x v="0"/>
    <x v="170"/>
    <n v="1079.8799999999999"/>
    <d v="2026-01-01T00:00:00"/>
    <x v="8"/>
  </r>
  <r>
    <s v="TXN-1346"/>
    <s v="2026-06-17"/>
    <x v="18"/>
    <n v="11"/>
    <x v="1"/>
    <x v="0"/>
    <x v="171"/>
    <n v="219.89"/>
    <d v="2026-06-01T00:00:00"/>
    <x v="6"/>
  </r>
  <r>
    <s v="TXN-1347"/>
    <s v="2026-10-07"/>
    <x v="0"/>
    <n v="12"/>
    <x v="3"/>
    <x v="0"/>
    <x v="47"/>
    <n v="330"/>
    <d v="2026-10-01T00:00:00"/>
    <x v="9"/>
  </r>
  <r>
    <s v="TXN-1348"/>
    <s v="2026-09-04"/>
    <x v="13"/>
    <n v="6"/>
    <x v="3"/>
    <x v="2"/>
    <x v="61"/>
    <n v="179.94"/>
    <d v="2026-09-01T00:00:00"/>
    <x v="1"/>
  </r>
  <r>
    <s v="TXN-1349"/>
    <s v="06/15/2026"/>
    <x v="23"/>
    <n v="12"/>
    <x v="1"/>
    <x v="2"/>
    <x v="159"/>
    <n v="2748"/>
    <d v="2026-06-01T00:00:00"/>
    <x v="6"/>
  </r>
  <r>
    <s v="TXN-1350"/>
    <s v="06/28/2026"/>
    <x v="24"/>
    <n v="3"/>
    <x v="1"/>
    <x v="0"/>
    <x v="136"/>
    <n v="45"/>
    <d v="2026-06-01T00:00:00"/>
    <x v="6"/>
  </r>
  <r>
    <s v="TXN-1351"/>
    <s v="2026-02-04"/>
    <x v="2"/>
    <n v="14"/>
    <x v="0"/>
    <x v="2"/>
    <x v="196"/>
    <n v="6986"/>
    <d v="2026-02-01T00:00:00"/>
    <x v="3"/>
  </r>
  <r>
    <s v="TXN-1352"/>
    <s v="2026-02-14"/>
    <x v="23"/>
    <n v="7"/>
    <x v="3"/>
    <x v="0"/>
    <x v="197"/>
    <n v="1603"/>
    <d v="2026-02-01T00:00:00"/>
    <x v="3"/>
  </r>
  <r>
    <s v="TXN-1353"/>
    <s v="2026-02-09"/>
    <x v="29"/>
    <n v="13"/>
    <x v="0"/>
    <x v="2"/>
    <x v="198"/>
    <n v="1235"/>
    <d v="2026-02-01T00:00:00"/>
    <x v="3"/>
  </r>
  <r>
    <s v="TXN-1354"/>
    <s v="2026-07-19"/>
    <x v="6"/>
    <n v="13"/>
    <x v="3"/>
    <x v="2"/>
    <x v="56"/>
    <n v="552.5"/>
    <d v="2026-07-01T00:00:00"/>
    <x v="2"/>
  </r>
  <r>
    <s v="TXN-1355"/>
    <s v="2026-02-20"/>
    <x v="8"/>
    <n v="9"/>
    <x v="0"/>
    <x v="0"/>
    <x v="199"/>
    <n v="1259.9100000000001"/>
    <d v="2026-02-01T00:00:00"/>
    <x v="3"/>
  </r>
  <r>
    <s v="TXN-1356"/>
    <s v="2026-09-02"/>
    <x v="4"/>
    <n v="14"/>
    <x v="3"/>
    <x v="2"/>
    <x v="187"/>
    <n v="419.85999999999996"/>
    <d v="2026-09-01T00:00:00"/>
    <x v="1"/>
  </r>
  <r>
    <s v="TXN-1357"/>
    <s v="2026-09-28"/>
    <x v="26"/>
    <n v="11"/>
    <x v="3"/>
    <x v="1"/>
    <x v="179"/>
    <n v="495"/>
    <d v="2026-09-01T00:00:00"/>
    <x v="1"/>
  </r>
  <r>
    <s v="TXN-1358"/>
    <s v="2026-04-18"/>
    <x v="6"/>
    <n v="9"/>
    <x v="3"/>
    <x v="1"/>
    <x v="39"/>
    <n v="382.5"/>
    <d v="2026-04-01T00:00:00"/>
    <x v="0"/>
  </r>
  <r>
    <s v="TXN-1359"/>
    <s v="2026-03-06"/>
    <x v="1"/>
    <n v="2"/>
    <x v="1"/>
    <x v="2"/>
    <x v="96"/>
    <n v="360"/>
    <d v="2026-03-01T00:00:00"/>
    <x v="7"/>
  </r>
  <r>
    <s v="TXN-1360"/>
    <s v="03/30/2026"/>
    <x v="24"/>
    <n v="7"/>
    <x v="3"/>
    <x v="1"/>
    <x v="120"/>
    <n v="105"/>
    <d v="2026-03-01T00:00:00"/>
    <x v="7"/>
  </r>
  <r>
    <s v="TXN-1361"/>
    <s v="2026-05-20"/>
    <x v="9"/>
    <n v="2"/>
    <x v="2"/>
    <x v="0"/>
    <x v="141"/>
    <n v="69.98"/>
    <d v="2026-05-01T00:00:00"/>
    <x v="5"/>
  </r>
  <r>
    <s v="TXN-1362"/>
    <s v="2026-01-28"/>
    <x v="8"/>
    <n v="2"/>
    <x v="0"/>
    <x v="1"/>
    <x v="87"/>
    <n v="279.98"/>
    <d v="2026-01-01T00:00:00"/>
    <x v="8"/>
  </r>
  <r>
    <s v="TXN-1363"/>
    <s v="03/31/2026"/>
    <x v="20"/>
    <n v="12"/>
    <x v="3"/>
    <x v="2"/>
    <x v="147"/>
    <n v="959.87999999999988"/>
    <d v="2026-03-01T00:00:00"/>
    <x v="7"/>
  </r>
  <r>
    <s v="TXN-1364"/>
    <s v="08/13/2026"/>
    <x v="0"/>
    <n v="4"/>
    <x v="1"/>
    <x v="0"/>
    <x v="186"/>
    <n v="110"/>
    <d v="2026-08-01T00:00:00"/>
    <x v="4"/>
  </r>
  <r>
    <s v="TXN-1365"/>
    <s v="03/08/2026"/>
    <x v="22"/>
    <n v="5"/>
    <x v="0"/>
    <x v="0"/>
    <x v="200"/>
    <n v="249.95000000000002"/>
    <d v="2026-03-01T00:00:00"/>
    <x v="7"/>
  </r>
  <r>
    <s v="TXN-1366"/>
    <s v="2026-02-28"/>
    <x v="12"/>
    <n v="1"/>
    <x v="2"/>
    <x v="2"/>
    <x v="90"/>
    <n v="39.99"/>
    <d v="2026-02-01T00:00:00"/>
    <x v="3"/>
  </r>
  <r>
    <s v="TXN-1367"/>
    <s v="2026-08-09"/>
    <x v="9"/>
    <n v="8"/>
    <x v="1"/>
    <x v="0"/>
    <x v="108"/>
    <n v="279.92"/>
    <d v="2026-08-01T00:00:00"/>
    <x v="4"/>
  </r>
  <r>
    <s v="TXN-1368"/>
    <s v="2026-02-23"/>
    <x v="29"/>
    <n v="2"/>
    <x v="2"/>
    <x v="2"/>
    <x v="97"/>
    <n v="190"/>
    <d v="2026-02-01T00:00:00"/>
    <x v="3"/>
  </r>
  <r>
    <s v="TXN-1369"/>
    <s v="2026-02-01"/>
    <x v="28"/>
    <n v="13"/>
    <x v="1"/>
    <x v="0"/>
    <x v="63"/>
    <n v="1169.8699999999999"/>
    <d v="2026-02-01T00:00:00"/>
    <x v="3"/>
  </r>
  <r>
    <s v="TXN-1370"/>
    <s v="2026-04-24"/>
    <x v="22"/>
    <n v="7"/>
    <x v="1"/>
    <x v="2"/>
    <x v="51"/>
    <n v="349.93"/>
    <d v="2026-04-01T00:00:00"/>
    <x v="0"/>
  </r>
  <r>
    <s v="TXN-1371"/>
    <s v="2026-07-10"/>
    <x v="29"/>
    <n v="13"/>
    <x v="1"/>
    <x v="2"/>
    <x v="60"/>
    <n v="1235"/>
    <d v="2026-07-01T00:00:00"/>
    <x v="2"/>
  </r>
  <r>
    <s v="TXN-1372"/>
    <s v="2026-01-13"/>
    <x v="3"/>
    <n v="3"/>
    <x v="2"/>
    <x v="1"/>
    <x v="113"/>
    <n v="25.5"/>
    <d v="2026-01-01T00:00:00"/>
    <x v="8"/>
  </r>
  <r>
    <s v="TXN-1373"/>
    <s v="2026-02-09"/>
    <x v="1"/>
    <n v="7"/>
    <x v="1"/>
    <x v="1"/>
    <x v="198"/>
    <n v="1260"/>
    <d v="2026-02-01T00:00:00"/>
    <x v="3"/>
  </r>
  <r>
    <s v="TXN-1374"/>
    <s v="2026-05-30"/>
    <x v="22"/>
    <n v="7"/>
    <x v="1"/>
    <x v="0"/>
    <x v="24"/>
    <n v="349.93"/>
    <d v="2026-05-01T00:00:00"/>
    <x v="5"/>
  </r>
  <r>
    <s v="TXN-1375"/>
    <s v="04/19/2026"/>
    <x v="22"/>
    <n v="11"/>
    <x v="2"/>
    <x v="0"/>
    <x v="201"/>
    <n v="549.89"/>
    <d v="2026-04-01T00:00:00"/>
    <x v="0"/>
  </r>
  <r>
    <s v="TXN-1376"/>
    <s v="2026-01-06"/>
    <x v="19"/>
    <n v="1"/>
    <x v="2"/>
    <x v="2"/>
    <x v="202"/>
    <n v="21.99"/>
    <d v="2026-01-01T00:00:00"/>
    <x v="8"/>
  </r>
  <r>
    <s v="TXN-1377"/>
    <s v="01/10/2026"/>
    <x v="12"/>
    <n v="12"/>
    <x v="1"/>
    <x v="0"/>
    <x v="182"/>
    <n v="479.88"/>
    <d v="2026-01-01T00:00:00"/>
    <x v="8"/>
  </r>
  <r>
    <s v="TXN-1378"/>
    <s v="2026-07-13"/>
    <x v="10"/>
    <n v="12"/>
    <x v="1"/>
    <x v="0"/>
    <x v="148"/>
    <n v="4199.88"/>
    <d v="2026-07-01T00:00:00"/>
    <x v="2"/>
  </r>
  <r>
    <s v="TXN-1379"/>
    <s v="2026-01-21"/>
    <x v="1"/>
    <n v="7"/>
    <x v="0"/>
    <x v="0"/>
    <x v="203"/>
    <n v="1260"/>
    <d v="2026-01-01T00:00:00"/>
    <x v="8"/>
  </r>
  <r>
    <s v="TXN-1380"/>
    <s v="2026-04-22"/>
    <x v="9"/>
    <n v="14"/>
    <x v="1"/>
    <x v="2"/>
    <x v="162"/>
    <n v="489.86"/>
    <d v="2026-04-01T00:00:00"/>
    <x v="0"/>
  </r>
  <r>
    <s v="TXN-1381"/>
    <s v="2026-06-20"/>
    <x v="22"/>
    <n v="5"/>
    <x v="3"/>
    <x v="2"/>
    <x v="114"/>
    <n v="249.95000000000002"/>
    <d v="2026-06-01T00:00:00"/>
    <x v="6"/>
  </r>
  <r>
    <s v="TXN-1382"/>
    <s v="2026-05-04"/>
    <x v="22"/>
    <n v="3"/>
    <x v="3"/>
    <x v="2"/>
    <x v="59"/>
    <n v="149.97"/>
    <d v="2026-05-01T00:00:00"/>
    <x v="5"/>
  </r>
  <r>
    <s v="TXN-1383"/>
    <s v="2026-04-28"/>
    <x v="21"/>
    <n v="14"/>
    <x v="2"/>
    <x v="0"/>
    <x v="25"/>
    <n v="1819.8600000000001"/>
    <d v="2026-04-01T00:00:00"/>
    <x v="0"/>
  </r>
  <r>
    <s v="TXN-1384"/>
    <s v="2026-03-27"/>
    <x v="28"/>
    <n v="12"/>
    <x v="0"/>
    <x v="2"/>
    <x v="168"/>
    <n v="1079.8799999999999"/>
    <d v="2026-03-01T00:00:00"/>
    <x v="7"/>
  </r>
  <r>
    <s v="TXN-1385"/>
    <s v="2026-09-16"/>
    <x v="22"/>
    <n v="13"/>
    <x v="0"/>
    <x v="1"/>
    <x v="5"/>
    <n v="649.87"/>
    <d v="2026-09-01T00:00:00"/>
    <x v="1"/>
  </r>
  <r>
    <s v="TXN-1386"/>
    <s v="2026-04-25"/>
    <x v="9"/>
    <n v="8"/>
    <x v="3"/>
    <x v="0"/>
    <x v="43"/>
    <n v="279.92"/>
    <d v="2026-04-01T00:00:00"/>
    <x v="0"/>
  </r>
  <r>
    <s v="TXN-1387"/>
    <s v="2026-02-07"/>
    <x v="15"/>
    <n v="5"/>
    <x v="0"/>
    <x v="0"/>
    <x v="118"/>
    <n v="599.94999999999993"/>
    <d v="2026-02-01T00:00:00"/>
    <x v="3"/>
  </r>
  <r>
    <s v="TXN-1388"/>
    <s v="2026-03-13"/>
    <x v="13"/>
    <n v="1"/>
    <x v="1"/>
    <x v="1"/>
    <x v="21"/>
    <n v="29.99"/>
    <d v="2026-03-01T00:00:00"/>
    <x v="7"/>
  </r>
  <r>
    <s v="TXN-1389"/>
    <s v="2026-04-25"/>
    <x v="20"/>
    <n v="3"/>
    <x v="1"/>
    <x v="0"/>
    <x v="43"/>
    <n v="239.96999999999997"/>
    <d v="2026-04-01T00:00:00"/>
    <x v="0"/>
  </r>
  <r>
    <s v="TXN-1390"/>
    <s v="2026-08-06"/>
    <x v="9"/>
    <n v="13"/>
    <x v="1"/>
    <x v="0"/>
    <x v="153"/>
    <n v="454.87"/>
    <d v="2026-08-01T00:00:00"/>
    <x v="4"/>
  </r>
  <r>
    <s v="TXN-1391"/>
    <s v="2026-02-18"/>
    <x v="25"/>
    <n v="3"/>
    <x v="2"/>
    <x v="0"/>
    <x v="204"/>
    <n v="56.97"/>
    <d v="2026-02-01T00:00:00"/>
    <x v="3"/>
  </r>
  <r>
    <s v="TXN-1392"/>
    <s v="2026-04-01"/>
    <x v="8"/>
    <n v="5"/>
    <x v="1"/>
    <x v="0"/>
    <x v="103"/>
    <n v="699.95"/>
    <d v="2026-04-01T00:00:00"/>
    <x v="0"/>
  </r>
  <r>
    <s v="TXN-1393"/>
    <s v="2026-08-01"/>
    <x v="29"/>
    <n v="6"/>
    <x v="2"/>
    <x v="0"/>
    <x v="19"/>
    <n v="570"/>
    <d v="2026-08-01T00:00:00"/>
    <x v="4"/>
  </r>
  <r>
    <s v="TXN-1394"/>
    <s v="04/30/2026"/>
    <x v="10"/>
    <n v="7"/>
    <x v="0"/>
    <x v="2"/>
    <x v="205"/>
    <n v="2449.9300000000003"/>
    <d v="2026-04-01T00:00:00"/>
    <x v="0"/>
  </r>
  <r>
    <s v="TXN-1395"/>
    <s v="2026-09-22"/>
    <x v="24"/>
    <n v="5"/>
    <x v="0"/>
    <x v="1"/>
    <x v="26"/>
    <n v="75"/>
    <d v="2026-09-01T00:00:00"/>
    <x v="1"/>
  </r>
  <r>
    <s v="TXN-1396"/>
    <s v="2026-02-23"/>
    <x v="25"/>
    <n v="11"/>
    <x v="2"/>
    <x v="2"/>
    <x v="97"/>
    <n v="208.89"/>
    <d v="2026-02-01T00:00:00"/>
    <x v="3"/>
  </r>
  <r>
    <s v="TXN-1397"/>
    <s v="2026-08-06"/>
    <x v="12"/>
    <n v="7"/>
    <x v="0"/>
    <x v="1"/>
    <x v="153"/>
    <n v="279.93"/>
    <d v="2026-08-01T00:00:00"/>
    <x v="4"/>
  </r>
  <r>
    <s v="TXN-1398"/>
    <s v="2026-04-16"/>
    <x v="5"/>
    <n v="7"/>
    <x v="2"/>
    <x v="2"/>
    <x v="76"/>
    <n v="168"/>
    <d v="2026-04-01T00:00:00"/>
    <x v="0"/>
  </r>
  <r>
    <s v="TXN-1399"/>
    <s v="2026-06-21"/>
    <x v="26"/>
    <n v="6"/>
    <x v="3"/>
    <x v="0"/>
    <x v="54"/>
    <n v="270"/>
    <d v="2026-06-01T00:00:00"/>
    <x v="6"/>
  </r>
  <r>
    <s v="TXN-1400"/>
    <s v="2026-05-29"/>
    <x v="21"/>
    <n v="14"/>
    <x v="2"/>
    <x v="1"/>
    <x v="206"/>
    <n v="1819.8600000000001"/>
    <d v="2026-05-01T00:00:00"/>
    <x v="5"/>
  </r>
  <r>
    <s v="TXN-1401"/>
    <s v="05/01/2026"/>
    <x v="6"/>
    <n v="3"/>
    <x v="1"/>
    <x v="1"/>
    <x v="163"/>
    <n v="127.5"/>
    <d v="2026-05-01T00:00:00"/>
    <x v="5"/>
  </r>
  <r>
    <s v="TXN-1402"/>
    <s v="2026-10-07"/>
    <x v="8"/>
    <n v="4"/>
    <x v="0"/>
    <x v="0"/>
    <x v="47"/>
    <n v="559.96"/>
    <d v="2026-10-01T00:00:00"/>
    <x v="9"/>
  </r>
  <r>
    <s v="TXN-1403"/>
    <s v="2026-08-21"/>
    <x v="22"/>
    <n v="2"/>
    <x v="1"/>
    <x v="1"/>
    <x v="207"/>
    <n v="99.98"/>
    <d v="2026-08-01T00:00:00"/>
    <x v="4"/>
  </r>
  <r>
    <s v="TXN-1404"/>
    <s v="2026-06-24"/>
    <x v="27"/>
    <n v="12"/>
    <x v="3"/>
    <x v="1"/>
    <x v="208"/>
    <n v="1079.8799999999999"/>
    <d v="2026-06-01T00:00:00"/>
    <x v="6"/>
  </r>
  <r>
    <s v="TXN-1405"/>
    <s v="2026-01-10"/>
    <x v="29"/>
    <n v="12"/>
    <x v="1"/>
    <x v="0"/>
    <x v="182"/>
    <n v="1140"/>
    <d v="2026-01-01T00:00:00"/>
    <x v="8"/>
  </r>
  <r>
    <s v="TXN-1406"/>
    <s v="2026-01-03"/>
    <x v="26"/>
    <n v="4"/>
    <x v="2"/>
    <x v="0"/>
    <x v="157"/>
    <n v="180"/>
    <d v="2026-01-01T00:00:00"/>
    <x v="8"/>
  </r>
  <r>
    <s v="TXN-1407"/>
    <s v="2026-09-14"/>
    <x v="5"/>
    <n v="2"/>
    <x v="1"/>
    <x v="1"/>
    <x v="209"/>
    <n v="48"/>
    <d v="2026-09-01T00:00:00"/>
    <x v="1"/>
  </r>
  <r>
    <s v="TXN-1408"/>
    <s v="2026-04-13"/>
    <x v="27"/>
    <n v="4"/>
    <x v="3"/>
    <x v="1"/>
    <x v="0"/>
    <n v="359.96"/>
    <d v="2026-04-01T00:00:00"/>
    <x v="0"/>
  </r>
  <r>
    <s v="TXN-1409"/>
    <s v="2026-07-20"/>
    <x v="19"/>
    <n v="13"/>
    <x v="2"/>
    <x v="2"/>
    <x v="210"/>
    <n v="285.87"/>
    <d v="2026-07-01T00:00:00"/>
    <x v="2"/>
  </r>
  <r>
    <s v="TXN-1410"/>
    <s v="2026-09-03"/>
    <x v="16"/>
    <n v="1"/>
    <x v="3"/>
    <x v="2"/>
    <x v="117"/>
    <n v="9.99"/>
    <d v="2026-09-01T00:00:00"/>
    <x v="1"/>
  </r>
  <r>
    <s v="TXN-1411"/>
    <s v="2026-05-08"/>
    <x v="29"/>
    <n v="14"/>
    <x v="3"/>
    <x v="0"/>
    <x v="7"/>
    <n v="1330"/>
    <d v="2026-05-01T00:00:00"/>
    <x v="5"/>
  </r>
  <r>
    <s v="TXN-1412"/>
    <s v="2026-04-17"/>
    <x v="28"/>
    <n v="4"/>
    <x v="1"/>
    <x v="2"/>
    <x v="41"/>
    <n v="359.96"/>
    <d v="2026-04-01T00:00:00"/>
    <x v="0"/>
  </r>
  <r>
    <s v="TXN-1413"/>
    <s v="2026-08-09"/>
    <x v="20"/>
    <n v="5"/>
    <x v="3"/>
    <x v="2"/>
    <x v="108"/>
    <n v="399.95"/>
    <d v="2026-08-01T00:00:00"/>
    <x v="4"/>
  </r>
  <r>
    <s v="TXN-1414"/>
    <s v="2026-09-10"/>
    <x v="1"/>
    <n v="2"/>
    <x v="3"/>
    <x v="0"/>
    <x v="10"/>
    <n v="360"/>
    <d v="2026-09-01T00:00:00"/>
    <x v="1"/>
  </r>
  <r>
    <s v="TXN-1415"/>
    <s v="2026-04-04"/>
    <x v="26"/>
    <n v="2"/>
    <x v="0"/>
    <x v="0"/>
    <x v="175"/>
    <n v="90"/>
    <d v="2026-04-01T00:00:00"/>
    <x v="0"/>
  </r>
  <r>
    <s v="TXN-1416"/>
    <s v="2026-04-15"/>
    <x v="15"/>
    <n v="7"/>
    <x v="0"/>
    <x v="1"/>
    <x v="15"/>
    <n v="839.93"/>
    <d v="2026-04-01T00:00:00"/>
    <x v="0"/>
  </r>
  <r>
    <s v="TXN-1417"/>
    <s v="02/06/2026"/>
    <x v="26"/>
    <n v="8"/>
    <x v="0"/>
    <x v="0"/>
    <x v="129"/>
    <n v="360"/>
    <d v="2026-02-01T00:00:00"/>
    <x v="3"/>
  </r>
  <r>
    <s v="TXN-1418"/>
    <s v="2026-09-08"/>
    <x v="19"/>
    <n v="3"/>
    <x v="1"/>
    <x v="2"/>
    <x v="211"/>
    <n v="65.97"/>
    <d v="2026-09-01T00:00:00"/>
    <x v="1"/>
  </r>
  <r>
    <s v="TXN-1419"/>
    <s v="2026-03-18"/>
    <x v="27"/>
    <n v="4"/>
    <x v="2"/>
    <x v="0"/>
    <x v="188"/>
    <n v="359.96"/>
    <d v="2026-03-01T00:00:00"/>
    <x v="7"/>
  </r>
  <r>
    <s v="TXN-1420"/>
    <s v="2026-08-19"/>
    <x v="23"/>
    <n v="10"/>
    <x v="0"/>
    <x v="2"/>
    <x v="4"/>
    <n v="2290"/>
    <d v="2026-08-01T00:00:00"/>
    <x v="4"/>
  </r>
  <r>
    <s v="TXN-1421"/>
    <s v="2026-02-18"/>
    <x v="23"/>
    <n v="2"/>
    <x v="3"/>
    <x v="0"/>
    <x v="204"/>
    <n v="458"/>
    <d v="2026-02-01T00:00:00"/>
    <x v="3"/>
  </r>
  <r>
    <s v="TXN-1422"/>
    <s v="2026-08-27"/>
    <x v="29"/>
    <n v="12"/>
    <x v="2"/>
    <x v="0"/>
    <x v="137"/>
    <n v="1140"/>
    <d v="2026-08-01T00:00:00"/>
    <x v="4"/>
  </r>
  <r>
    <s v="TXN-1423"/>
    <s v="04/30/2026"/>
    <x v="23"/>
    <n v="6"/>
    <x v="3"/>
    <x v="1"/>
    <x v="205"/>
    <n v="1374"/>
    <d v="2026-04-01T00:00:00"/>
    <x v="0"/>
  </r>
  <r>
    <s v="TXN-1424"/>
    <s v="2026-09-13"/>
    <x v="12"/>
    <n v="2"/>
    <x v="3"/>
    <x v="2"/>
    <x v="131"/>
    <n v="79.98"/>
    <d v="2026-09-01T00:00:00"/>
    <x v="1"/>
  </r>
  <r>
    <s v="TXN-1425"/>
    <s v="2026-08-16"/>
    <x v="2"/>
    <n v="8"/>
    <x v="0"/>
    <x v="1"/>
    <x v="212"/>
    <n v="3992"/>
    <d v="2026-08-01T00:00:00"/>
    <x v="4"/>
  </r>
  <r>
    <s v="TXN-1426"/>
    <s v="08/10/2026"/>
    <x v="13"/>
    <n v="2"/>
    <x v="1"/>
    <x v="2"/>
    <x v="107"/>
    <n v="59.98"/>
    <d v="2026-08-01T00:00:00"/>
    <x v="4"/>
  </r>
  <r>
    <s v="TXN-1427"/>
    <s v="2026-04-16"/>
    <x v="10"/>
    <n v="7"/>
    <x v="1"/>
    <x v="2"/>
    <x v="76"/>
    <n v="2449.9300000000003"/>
    <d v="2026-04-01T00:00:00"/>
    <x v="0"/>
  </r>
  <r>
    <s v="TXN-1428"/>
    <s v="02/14/2026"/>
    <x v="18"/>
    <n v="7"/>
    <x v="1"/>
    <x v="1"/>
    <x v="197"/>
    <n v="139.92999999999998"/>
    <d v="2026-02-01T00:00:00"/>
    <x v="3"/>
  </r>
  <r>
    <s v="TXN-1429"/>
    <s v="2026-07-25"/>
    <x v="3"/>
    <n v="1"/>
    <x v="3"/>
    <x v="0"/>
    <x v="58"/>
    <n v="8.5"/>
    <d v="2026-07-01T00:00:00"/>
    <x v="2"/>
  </r>
  <r>
    <s v="TXN-1430"/>
    <s v="2026-10-07"/>
    <x v="1"/>
    <n v="12"/>
    <x v="1"/>
    <x v="0"/>
    <x v="47"/>
    <n v="2160"/>
    <d v="2026-10-01T00:00:00"/>
    <x v="9"/>
  </r>
  <r>
    <s v="TXN-1431"/>
    <s v="2026-06-07"/>
    <x v="3"/>
    <n v="14"/>
    <x v="2"/>
    <x v="0"/>
    <x v="130"/>
    <n v="119"/>
    <d v="2026-06-01T00:00:00"/>
    <x v="6"/>
  </r>
  <r>
    <s v="TXN-1432"/>
    <s v="2026-08-19"/>
    <x v="25"/>
    <n v="11"/>
    <x v="3"/>
    <x v="0"/>
    <x v="4"/>
    <n v="208.89"/>
    <d v="2026-08-01T00:00:00"/>
    <x v="4"/>
  </r>
  <r>
    <s v="TXN-1433"/>
    <s v="2026-05-06"/>
    <x v="4"/>
    <n v="11"/>
    <x v="0"/>
    <x v="1"/>
    <x v="6"/>
    <n v="329.89"/>
    <d v="2026-05-01T00:00:00"/>
    <x v="5"/>
  </r>
  <r>
    <s v="TXN-1434"/>
    <s v="2026-01-23"/>
    <x v="18"/>
    <n v="6"/>
    <x v="3"/>
    <x v="0"/>
    <x v="213"/>
    <n v="119.94"/>
    <d v="2026-01-01T00:00:00"/>
    <x v="8"/>
  </r>
  <r>
    <s v="TXN-1435"/>
    <s v="2026-02-12"/>
    <x v="8"/>
    <n v="6"/>
    <x v="2"/>
    <x v="0"/>
    <x v="95"/>
    <n v="839.94"/>
    <d v="2026-02-01T00:00:00"/>
    <x v="3"/>
  </r>
  <r>
    <s v="TXN-1436"/>
    <s v="04/19/2026"/>
    <x v="19"/>
    <n v="8"/>
    <x v="3"/>
    <x v="0"/>
    <x v="201"/>
    <n v="175.92"/>
    <d v="2026-04-01T00:00:00"/>
    <x v="0"/>
  </r>
  <r>
    <s v="TXN-1437"/>
    <s v="2026-03-22"/>
    <x v="7"/>
    <n v="2"/>
    <x v="3"/>
    <x v="1"/>
    <x v="102"/>
    <n v="139.97999999999999"/>
    <d v="2026-03-01T00:00:00"/>
    <x v="7"/>
  </r>
  <r>
    <s v="TXN-1438"/>
    <s v="2026-10-06"/>
    <x v="27"/>
    <n v="6"/>
    <x v="0"/>
    <x v="1"/>
    <x v="189"/>
    <n v="539.93999999999994"/>
    <d v="2026-10-01T00:00:00"/>
    <x v="9"/>
  </r>
  <r>
    <s v="TXN-1439"/>
    <s v="2026-07-15"/>
    <x v="21"/>
    <n v="10"/>
    <x v="0"/>
    <x v="0"/>
    <x v="135"/>
    <n v="1299.9000000000001"/>
    <d v="2026-07-01T00:00:00"/>
    <x v="2"/>
  </r>
  <r>
    <s v="TXN-1440"/>
    <s v="2026-01-23"/>
    <x v="19"/>
    <n v="8"/>
    <x v="1"/>
    <x v="2"/>
    <x v="213"/>
    <n v="175.92"/>
    <d v="2026-01-01T00:00:00"/>
    <x v="8"/>
  </r>
  <r>
    <s v="TXN-1441"/>
    <s v="02/12/2026"/>
    <x v="4"/>
    <n v="11"/>
    <x v="2"/>
    <x v="1"/>
    <x v="95"/>
    <n v="329.89"/>
    <d v="2026-02-01T00:00:00"/>
    <x v="3"/>
  </r>
  <r>
    <s v="TXN-1442"/>
    <s v="2026-09-01"/>
    <x v="4"/>
    <n v="14"/>
    <x v="0"/>
    <x v="1"/>
    <x v="1"/>
    <n v="419.85999999999996"/>
    <d v="2026-09-01T00:00:00"/>
    <x v="1"/>
  </r>
  <r>
    <s v="TXN-1443"/>
    <s v="2026-09-21"/>
    <x v="6"/>
    <n v="1"/>
    <x v="1"/>
    <x v="2"/>
    <x v="85"/>
    <n v="42.5"/>
    <d v="2026-09-01T00:00:00"/>
    <x v="1"/>
  </r>
  <r>
    <s v="TXN-1444"/>
    <s v="2026-05-24"/>
    <x v="13"/>
    <n v="8"/>
    <x v="2"/>
    <x v="2"/>
    <x v="12"/>
    <n v="239.92"/>
    <d v="2026-05-01T00:00:00"/>
    <x v="5"/>
  </r>
  <r>
    <s v="TXN-1445"/>
    <s v="2026-03-27"/>
    <x v="14"/>
    <n v="12"/>
    <x v="2"/>
    <x v="1"/>
    <x v="168"/>
    <n v="420"/>
    <d v="2026-03-01T00:00:00"/>
    <x v="7"/>
  </r>
  <r>
    <s v="TXN-1446"/>
    <s v="09/15/2026"/>
    <x v="5"/>
    <n v="8"/>
    <x v="2"/>
    <x v="1"/>
    <x v="14"/>
    <n v="192"/>
    <d v="2026-09-01T00:00:00"/>
    <x v="1"/>
  </r>
  <r>
    <s v="TXN-1447"/>
    <s v="07/25/2026"/>
    <x v="22"/>
    <n v="14"/>
    <x v="0"/>
    <x v="2"/>
    <x v="58"/>
    <n v="699.86"/>
    <d v="2026-07-01T00:00:00"/>
    <x v="2"/>
  </r>
  <r>
    <s v="TXN-1448"/>
    <s v="2026-09-21"/>
    <x v="2"/>
    <n v="7"/>
    <x v="3"/>
    <x v="2"/>
    <x v="85"/>
    <n v="3493"/>
    <d v="2026-09-01T00:00:00"/>
    <x v="1"/>
  </r>
  <r>
    <s v="TXN-1449"/>
    <s v="2026-02-06"/>
    <x v="20"/>
    <n v="5"/>
    <x v="2"/>
    <x v="1"/>
    <x v="129"/>
    <n v="399.95"/>
    <d v="2026-02-01T00:00:00"/>
    <x v="3"/>
  </r>
  <r>
    <s v="TXN-1450"/>
    <s v="2026-06-06"/>
    <x v="8"/>
    <n v="6"/>
    <x v="3"/>
    <x v="1"/>
    <x v="28"/>
    <n v="839.94"/>
    <d v="2026-06-01T00:00:00"/>
    <x v="6"/>
  </r>
  <r>
    <s v="TXN-1451"/>
    <s v="2026-07-22"/>
    <x v="18"/>
    <n v="14"/>
    <x v="3"/>
    <x v="0"/>
    <x v="214"/>
    <n v="279.85999999999996"/>
    <d v="2026-07-01T00:00:00"/>
    <x v="2"/>
  </r>
  <r>
    <s v="TXN-1452"/>
    <s v="09/20/2026"/>
    <x v="14"/>
    <n v="3"/>
    <x v="1"/>
    <x v="1"/>
    <x v="215"/>
    <n v="105"/>
    <d v="2026-09-01T00:00:00"/>
    <x v="1"/>
  </r>
  <r>
    <s v="TXN-1453"/>
    <s v="2026-06-11"/>
    <x v="0"/>
    <n v="3"/>
    <x v="2"/>
    <x v="2"/>
    <x v="216"/>
    <n v="82.5"/>
    <d v="2026-06-01T00:00:00"/>
    <x v="6"/>
  </r>
  <r>
    <s v="TXN-1454"/>
    <s v="2026-05-28"/>
    <x v="7"/>
    <n v="12"/>
    <x v="0"/>
    <x v="2"/>
    <x v="217"/>
    <n v="839.87999999999988"/>
    <d v="2026-05-01T00:00:00"/>
    <x v="5"/>
  </r>
  <r>
    <s v="TXN-1455"/>
    <s v="2026-01-13"/>
    <x v="1"/>
    <n v="4"/>
    <x v="0"/>
    <x v="0"/>
    <x v="113"/>
    <n v="720"/>
    <d v="2026-01-01T00:00:00"/>
    <x v="8"/>
  </r>
  <r>
    <s v="TXN-1456"/>
    <s v="2026-01-08"/>
    <x v="24"/>
    <n v="10"/>
    <x v="2"/>
    <x v="1"/>
    <x v="71"/>
    <n v="150"/>
    <d v="2026-01-01T00:00:00"/>
    <x v="8"/>
  </r>
  <r>
    <s v="TXN-1457"/>
    <s v="2026-08-16"/>
    <x v="29"/>
    <n v="8"/>
    <x v="1"/>
    <x v="0"/>
    <x v="212"/>
    <n v="760"/>
    <d v="2026-08-01T00:00:00"/>
    <x v="4"/>
  </r>
  <r>
    <s v="TXN-1458"/>
    <s v="2026-06-04"/>
    <x v="19"/>
    <n v="2"/>
    <x v="3"/>
    <x v="0"/>
    <x v="94"/>
    <n v="43.98"/>
    <d v="2026-06-01T00:00:00"/>
    <x v="6"/>
  </r>
  <r>
    <s v="TXN-1459"/>
    <s v="2026-05-28"/>
    <x v="8"/>
    <n v="1"/>
    <x v="0"/>
    <x v="0"/>
    <x v="217"/>
    <n v="139.99"/>
    <d v="2026-05-01T00:00:00"/>
    <x v="5"/>
  </r>
  <r>
    <s v="TXN-1460"/>
    <s v="2026-04-19"/>
    <x v="14"/>
    <n v="10"/>
    <x v="2"/>
    <x v="2"/>
    <x v="201"/>
    <n v="350"/>
    <d v="2026-04-01T00:00:00"/>
    <x v="0"/>
  </r>
  <r>
    <s v="TXN-1461"/>
    <s v="2026-01-05"/>
    <x v="9"/>
    <n v="14"/>
    <x v="1"/>
    <x v="2"/>
    <x v="91"/>
    <n v="489.86"/>
    <d v="2026-01-01T00:00:00"/>
    <x v="8"/>
  </r>
  <r>
    <s v="TXN-1462"/>
    <s v="2026-09-03"/>
    <x v="22"/>
    <n v="6"/>
    <x v="0"/>
    <x v="0"/>
    <x v="117"/>
    <n v="299.94"/>
    <d v="2026-09-01T00:00:00"/>
    <x v="1"/>
  </r>
  <r>
    <s v="TXN-1463"/>
    <s v="2026-06-06"/>
    <x v="2"/>
    <n v="5"/>
    <x v="2"/>
    <x v="2"/>
    <x v="28"/>
    <n v="2495"/>
    <d v="2026-06-01T00:00:00"/>
    <x v="6"/>
  </r>
  <r>
    <s v="TXN-1464"/>
    <s v="2026-03-17"/>
    <x v="15"/>
    <n v="3"/>
    <x v="1"/>
    <x v="0"/>
    <x v="158"/>
    <n v="359.96999999999997"/>
    <d v="2026-03-01T00:00:00"/>
    <x v="7"/>
  </r>
  <r>
    <s v="TXN-1465"/>
    <s v="2026-08-30"/>
    <x v="8"/>
    <n v="9"/>
    <x v="1"/>
    <x v="2"/>
    <x v="55"/>
    <n v="1259.9100000000001"/>
    <d v="2026-08-01T00:00:00"/>
    <x v="4"/>
  </r>
  <r>
    <s v="TXN-1466"/>
    <s v="2026-09-03"/>
    <x v="29"/>
    <n v="2"/>
    <x v="2"/>
    <x v="2"/>
    <x v="117"/>
    <n v="190"/>
    <d v="2026-09-01T00:00:00"/>
    <x v="1"/>
  </r>
  <r>
    <s v="TXN-1467"/>
    <s v="2026-01-31"/>
    <x v="8"/>
    <n v="10"/>
    <x v="0"/>
    <x v="2"/>
    <x v="68"/>
    <n v="1399.9"/>
    <d v="2026-01-01T00:00:00"/>
    <x v="8"/>
  </r>
  <r>
    <s v="TXN-1468"/>
    <s v="2026-08-19"/>
    <x v="2"/>
    <n v="5"/>
    <x v="3"/>
    <x v="2"/>
    <x v="4"/>
    <n v="2495"/>
    <d v="2026-08-01T00:00:00"/>
    <x v="4"/>
  </r>
  <r>
    <s v="TXN-1469"/>
    <s v="2026-09-06"/>
    <x v="2"/>
    <n v="14"/>
    <x v="2"/>
    <x v="0"/>
    <x v="22"/>
    <n v="6986"/>
    <d v="2026-09-01T00:00:00"/>
    <x v="1"/>
  </r>
  <r>
    <s v="TXN-1470"/>
    <s v="10/03/2026"/>
    <x v="27"/>
    <n v="14"/>
    <x v="1"/>
    <x v="2"/>
    <x v="122"/>
    <n v="1259.8599999999999"/>
    <d v="2026-10-01T00:00:00"/>
    <x v="9"/>
  </r>
  <r>
    <s v="TXN-1471"/>
    <s v="2026-02-18"/>
    <x v="14"/>
    <n v="11"/>
    <x v="0"/>
    <x v="2"/>
    <x v="204"/>
    <n v="385"/>
    <d v="2026-02-01T00:00:00"/>
    <x v="3"/>
  </r>
  <r>
    <s v="TXN-1472"/>
    <s v="2026-03-19"/>
    <x v="8"/>
    <n v="1"/>
    <x v="1"/>
    <x v="0"/>
    <x v="218"/>
    <n v="139.99"/>
    <d v="2026-03-01T00:00:00"/>
    <x v="7"/>
  </r>
  <r>
    <s v="TXN-1473"/>
    <s v="2026-06-28"/>
    <x v="21"/>
    <n v="1"/>
    <x v="2"/>
    <x v="1"/>
    <x v="136"/>
    <n v="129.99"/>
    <d v="2026-06-01T00:00:00"/>
    <x v="6"/>
  </r>
  <r>
    <s v="TXN-1474"/>
    <s v="2026-06-12"/>
    <x v="16"/>
    <n v="8"/>
    <x v="1"/>
    <x v="1"/>
    <x v="219"/>
    <n v="79.92"/>
    <d v="2026-06-01T00:00:00"/>
    <x v="6"/>
  </r>
  <r>
    <s v="TXN-1475"/>
    <s v="2026-06-18"/>
    <x v="3"/>
    <n v="1"/>
    <x v="2"/>
    <x v="0"/>
    <x v="138"/>
    <n v="8.5"/>
    <d v="2026-06-01T00:00:00"/>
    <x v="6"/>
  </r>
  <r>
    <s v="TXN-1476"/>
    <s v="2026-09-19"/>
    <x v="22"/>
    <n v="8"/>
    <x v="0"/>
    <x v="0"/>
    <x v="220"/>
    <n v="399.92"/>
    <d v="2026-09-01T00:00:00"/>
    <x v="1"/>
  </r>
  <r>
    <s v="TXN-1477"/>
    <s v="2026-02-01"/>
    <x v="12"/>
    <n v="13"/>
    <x v="2"/>
    <x v="2"/>
    <x v="63"/>
    <n v="519.87"/>
    <d v="2026-02-01T00:00:00"/>
    <x v="3"/>
  </r>
  <r>
    <s v="TXN-1478"/>
    <s v="2026-03-12"/>
    <x v="24"/>
    <n v="2"/>
    <x v="2"/>
    <x v="1"/>
    <x v="100"/>
    <n v="30"/>
    <d v="2026-03-01T00:00:00"/>
    <x v="7"/>
  </r>
  <r>
    <s v="TXN-1479"/>
    <s v="2026-01-21"/>
    <x v="15"/>
    <n v="2"/>
    <x v="2"/>
    <x v="2"/>
    <x v="203"/>
    <n v="239.98"/>
    <d v="2026-01-01T00:00:00"/>
    <x v="8"/>
  </r>
  <r>
    <s v="TXN-1480"/>
    <s v="2026-07-29"/>
    <x v="23"/>
    <n v="12"/>
    <x v="3"/>
    <x v="1"/>
    <x v="161"/>
    <n v="2748"/>
    <d v="2026-07-01T00:00:00"/>
    <x v="2"/>
  </r>
  <r>
    <s v="TXN-1481"/>
    <s v="2026-07-27"/>
    <x v="1"/>
    <n v="13"/>
    <x v="2"/>
    <x v="0"/>
    <x v="83"/>
    <n v="2340"/>
    <d v="2026-07-01T00:00:00"/>
    <x v="2"/>
  </r>
  <r>
    <s v="TXN-1482"/>
    <s v="09/28/2026"/>
    <x v="27"/>
    <n v="4"/>
    <x v="0"/>
    <x v="1"/>
    <x v="179"/>
    <n v="359.96"/>
    <d v="2026-09-01T00:00:00"/>
    <x v="1"/>
  </r>
  <r>
    <s v="TXN-1483"/>
    <s v="2026-08-29"/>
    <x v="9"/>
    <n v="9"/>
    <x v="1"/>
    <x v="0"/>
    <x v="133"/>
    <n v="314.91000000000003"/>
    <d v="2026-08-01T00:00:00"/>
    <x v="4"/>
  </r>
  <r>
    <s v="TXN-1484"/>
    <s v="2026-02-15"/>
    <x v="23"/>
    <n v="9"/>
    <x v="1"/>
    <x v="1"/>
    <x v="221"/>
    <n v="2061"/>
    <d v="2026-02-01T00:00:00"/>
    <x v="3"/>
  </r>
  <r>
    <s v="TXN-1485"/>
    <s v="2026-08-26"/>
    <x v="9"/>
    <n v="1"/>
    <x v="1"/>
    <x v="1"/>
    <x v="222"/>
    <n v="34.99"/>
    <d v="2026-08-01T00:00:00"/>
    <x v="4"/>
  </r>
  <r>
    <s v="TXN-1486"/>
    <s v="2026-01-14"/>
    <x v="10"/>
    <n v="5"/>
    <x v="1"/>
    <x v="0"/>
    <x v="34"/>
    <n v="1749.95"/>
    <d v="2026-01-01T00:00:00"/>
    <x v="8"/>
  </r>
  <r>
    <s v="TXN-1487"/>
    <s v="04/23/2026"/>
    <x v="25"/>
    <n v="3"/>
    <x v="1"/>
    <x v="1"/>
    <x v="167"/>
    <n v="56.97"/>
    <d v="2026-04-01T00:00:00"/>
    <x v="0"/>
  </r>
  <r>
    <s v="TXN-1488"/>
    <s v="2026-06-29"/>
    <x v="19"/>
    <n v="2"/>
    <x v="0"/>
    <x v="0"/>
    <x v="57"/>
    <n v="43.98"/>
    <d v="2026-06-01T00:00:00"/>
    <x v="6"/>
  </r>
  <r>
    <s v="TXN-1489"/>
    <s v="2026-07-15"/>
    <x v="23"/>
    <n v="11"/>
    <x v="3"/>
    <x v="0"/>
    <x v="135"/>
    <n v="2519"/>
    <d v="2026-07-01T00:00:00"/>
    <x v="2"/>
  </r>
  <r>
    <s v="TXN-1490"/>
    <s v="2026-02-03"/>
    <x v="17"/>
    <n v="11"/>
    <x v="2"/>
    <x v="1"/>
    <x v="223"/>
    <n v="659.89"/>
    <d v="2026-02-01T00:00:00"/>
    <x v="3"/>
  </r>
  <r>
    <s v="TXN-1491"/>
    <s v="2026-07-15"/>
    <x v="22"/>
    <n v="7"/>
    <x v="0"/>
    <x v="2"/>
    <x v="135"/>
    <n v="349.93"/>
    <d v="2026-07-01T00:00:00"/>
    <x v="2"/>
  </r>
  <r>
    <s v="TXN-1492"/>
    <s v="2026-09-26"/>
    <x v="24"/>
    <n v="3"/>
    <x v="2"/>
    <x v="1"/>
    <x v="184"/>
    <n v="45"/>
    <d v="2026-09-01T00:00:00"/>
    <x v="1"/>
  </r>
  <r>
    <s v="TXN-1493"/>
    <s v="05/01/2026"/>
    <x v="6"/>
    <n v="1"/>
    <x v="3"/>
    <x v="1"/>
    <x v="163"/>
    <n v="42.5"/>
    <d v="2026-05-01T00:00:00"/>
    <x v="5"/>
  </r>
  <r>
    <s v="TXN-1494"/>
    <s v="10/06/2026"/>
    <x v="15"/>
    <n v="7"/>
    <x v="3"/>
    <x v="2"/>
    <x v="189"/>
    <n v="839.93"/>
    <d v="2026-10-01T00:00:00"/>
    <x v="9"/>
  </r>
  <r>
    <s v="TXN-1495"/>
    <s v="2026-05-29"/>
    <x v="12"/>
    <n v="14"/>
    <x v="2"/>
    <x v="1"/>
    <x v="206"/>
    <n v="559.86"/>
    <d v="2026-05-01T00:00:00"/>
    <x v="5"/>
  </r>
  <r>
    <s v="TXN-1496"/>
    <s v="2026-04-18"/>
    <x v="17"/>
    <n v="13"/>
    <x v="0"/>
    <x v="1"/>
    <x v="39"/>
    <n v="779.87"/>
    <d v="2026-04-01T00:00:00"/>
    <x v="0"/>
  </r>
  <r>
    <s v="TXN-1497"/>
    <s v="2026-04-01"/>
    <x v="27"/>
    <n v="7"/>
    <x v="3"/>
    <x v="0"/>
    <x v="103"/>
    <n v="629.92999999999995"/>
    <d v="2026-04-01T00:00:00"/>
    <x v="0"/>
  </r>
  <r>
    <s v="TXN-1498"/>
    <s v="2026-07-11"/>
    <x v="20"/>
    <n v="7"/>
    <x v="2"/>
    <x v="0"/>
    <x v="142"/>
    <n v="559.92999999999995"/>
    <d v="2026-07-01T00:00:00"/>
    <x v="2"/>
  </r>
  <r>
    <s v="TXN-1499"/>
    <s v="2026-01-07"/>
    <x v="21"/>
    <n v="1"/>
    <x v="2"/>
    <x v="1"/>
    <x v="224"/>
    <n v="129.99"/>
    <d v="2026-01-01T00:00:00"/>
    <x v="8"/>
  </r>
  <r>
    <s v="TXN-1500"/>
    <s v="2026-07-26"/>
    <x v="14"/>
    <n v="1"/>
    <x v="1"/>
    <x v="0"/>
    <x v="176"/>
    <n v="35"/>
    <d v="2026-07-01T00:00:00"/>
    <x v="2"/>
  </r>
  <r>
    <s v="TXN-1501"/>
    <s v="02/06/2026"/>
    <x v="9"/>
    <n v="14"/>
    <x v="0"/>
    <x v="1"/>
    <x v="129"/>
    <n v="489.86"/>
    <d v="2026-02-01T00:00:00"/>
    <x v="3"/>
  </r>
  <r>
    <s v="TXN-1502"/>
    <s v="2026-06-15"/>
    <x v="15"/>
    <n v="13"/>
    <x v="1"/>
    <x v="1"/>
    <x v="159"/>
    <n v="1559.87"/>
    <d v="2026-06-01T00:00:00"/>
    <x v="6"/>
  </r>
  <r>
    <s v="TXN-1503"/>
    <s v="2026-07-28"/>
    <x v="24"/>
    <n v="5"/>
    <x v="2"/>
    <x v="1"/>
    <x v="132"/>
    <n v="75"/>
    <d v="2026-07-01T00:00:00"/>
    <x v="2"/>
  </r>
  <r>
    <s v="TXN-1504"/>
    <s v="2026-09-14"/>
    <x v="23"/>
    <n v="14"/>
    <x v="3"/>
    <x v="0"/>
    <x v="209"/>
    <n v="3206"/>
    <d v="2026-09-01T00:00:00"/>
    <x v="1"/>
  </r>
  <r>
    <s v="TXN-1505"/>
    <s v="2026-04-13"/>
    <x v="20"/>
    <n v="1"/>
    <x v="0"/>
    <x v="2"/>
    <x v="0"/>
    <n v="79.989999999999995"/>
    <d v="2026-04-01T00:00:00"/>
    <x v="0"/>
  </r>
  <r>
    <s v="TXN-1506"/>
    <s v="09/07/2026"/>
    <x v="1"/>
    <n v="6"/>
    <x v="3"/>
    <x v="2"/>
    <x v="36"/>
    <n v="1080"/>
    <d v="2026-09-01T00:00:00"/>
    <x v="1"/>
  </r>
  <r>
    <s v="TXN-1507"/>
    <s v="2026-02-07"/>
    <x v="11"/>
    <n v="13"/>
    <x v="1"/>
    <x v="1"/>
    <x v="118"/>
    <n v="585"/>
    <d v="2026-02-01T00:00:00"/>
    <x v="3"/>
  </r>
  <r>
    <s v="TXN-1508"/>
    <s v="2026-06-14"/>
    <x v="24"/>
    <n v="1"/>
    <x v="2"/>
    <x v="2"/>
    <x v="225"/>
    <n v="15"/>
    <d v="2026-06-01T00:00:00"/>
    <x v="6"/>
  </r>
  <r>
    <s v="TXN-1509"/>
    <s v="2026-02-07"/>
    <x v="27"/>
    <n v="7"/>
    <x v="1"/>
    <x v="1"/>
    <x v="118"/>
    <n v="629.92999999999995"/>
    <d v="2026-02-01T00:00:00"/>
    <x v="3"/>
  </r>
  <r>
    <s v="TXN-1510"/>
    <s v="01/04/2026"/>
    <x v="17"/>
    <n v="10"/>
    <x v="2"/>
    <x v="0"/>
    <x v="151"/>
    <n v="599.9"/>
    <d v="2026-01-01T00:00:00"/>
    <x v="8"/>
  </r>
  <r>
    <s v="TXN-1511"/>
    <s v="10/05/2026"/>
    <x v="27"/>
    <n v="5"/>
    <x v="1"/>
    <x v="1"/>
    <x v="45"/>
    <n v="449.95"/>
    <d v="2026-10-01T00:00:00"/>
    <x v="9"/>
  </r>
  <r>
    <s v="TXN-1512"/>
    <s v="03/08/2026"/>
    <x v="20"/>
    <n v="13"/>
    <x v="2"/>
    <x v="2"/>
    <x v="200"/>
    <n v="1039.8699999999999"/>
    <d v="2026-03-01T00:00:00"/>
    <x v="7"/>
  </r>
  <r>
    <s v="TXN-1513"/>
    <s v="2026-03-23"/>
    <x v="8"/>
    <n v="1"/>
    <x v="0"/>
    <x v="0"/>
    <x v="226"/>
    <n v="139.99"/>
    <d v="2026-03-01T00:00:00"/>
    <x v="7"/>
  </r>
  <r>
    <s v="TXN-1514"/>
    <s v="2026-04-24"/>
    <x v="4"/>
    <n v="2"/>
    <x v="1"/>
    <x v="2"/>
    <x v="51"/>
    <n v="59.98"/>
    <d v="2026-04-01T00:00:00"/>
    <x v="0"/>
  </r>
  <r>
    <s v="TXN-1515"/>
    <s v="2026-04-15"/>
    <x v="25"/>
    <n v="1"/>
    <x v="3"/>
    <x v="1"/>
    <x v="15"/>
    <n v="18.989999999999998"/>
    <d v="2026-04-01T00:00:00"/>
    <x v="0"/>
  </r>
  <r>
    <s v="TXN-1516"/>
    <s v="2026-07-18"/>
    <x v="7"/>
    <n v="1"/>
    <x v="0"/>
    <x v="0"/>
    <x v="227"/>
    <n v="69.989999999999995"/>
    <d v="2026-07-01T00:00:00"/>
    <x v="2"/>
  </r>
  <r>
    <s v="TXN-1517"/>
    <s v="2026-02-03"/>
    <x v="25"/>
    <n v="1"/>
    <x v="0"/>
    <x v="2"/>
    <x v="223"/>
    <n v="18.989999999999998"/>
    <d v="2026-02-01T00:00:00"/>
    <x v="3"/>
  </r>
  <r>
    <s v="TXN-1518"/>
    <s v="2026-08-08"/>
    <x v="25"/>
    <n v="12"/>
    <x v="1"/>
    <x v="0"/>
    <x v="112"/>
    <n v="227.88"/>
    <d v="2026-08-01T00:00:00"/>
    <x v="4"/>
  </r>
  <r>
    <s v="TXN-1519"/>
    <s v="2026-06-02"/>
    <x v="17"/>
    <n v="4"/>
    <x v="2"/>
    <x v="1"/>
    <x v="40"/>
    <n v="239.96"/>
    <d v="2026-06-01T00:00:00"/>
    <x v="6"/>
  </r>
  <r>
    <s v="TXN-1520"/>
    <s v="2026-08-14"/>
    <x v="15"/>
    <n v="11"/>
    <x v="2"/>
    <x v="0"/>
    <x v="181"/>
    <n v="1319.8899999999999"/>
    <d v="2026-08-01T00:00:00"/>
    <x v="4"/>
  </r>
  <r>
    <s v="TXN-1521"/>
    <s v="02/19/2026"/>
    <x v="2"/>
    <n v="6"/>
    <x v="2"/>
    <x v="1"/>
    <x v="228"/>
    <n v="2994"/>
    <d v="2026-02-01T00:00:00"/>
    <x v="3"/>
  </r>
  <r>
    <s v="TXN-1522"/>
    <s v="2026-09-26"/>
    <x v="19"/>
    <n v="6"/>
    <x v="3"/>
    <x v="2"/>
    <x v="184"/>
    <n v="131.94"/>
    <d v="2026-09-01T00:00:00"/>
    <x v="1"/>
  </r>
  <r>
    <s v="TXN-1523"/>
    <s v="2026-05-23"/>
    <x v="21"/>
    <n v="13"/>
    <x v="0"/>
    <x v="1"/>
    <x v="229"/>
    <n v="1689.8700000000001"/>
    <d v="2026-05-01T00:00:00"/>
    <x v="5"/>
  </r>
  <r>
    <s v="TXN-1524"/>
    <s v="2026-03-23"/>
    <x v="1"/>
    <n v="12"/>
    <x v="2"/>
    <x v="2"/>
    <x v="226"/>
    <n v="2160"/>
    <d v="2026-03-01T00:00:00"/>
    <x v="7"/>
  </r>
  <r>
    <s v="TXN-1525"/>
    <s v="2026-09-03"/>
    <x v="9"/>
    <n v="8"/>
    <x v="0"/>
    <x v="2"/>
    <x v="117"/>
    <n v="279.92"/>
    <d v="2026-09-01T00:00:00"/>
    <x v="1"/>
  </r>
  <r>
    <s v="TXN-1526"/>
    <s v="2026-06-18"/>
    <x v="25"/>
    <n v="6"/>
    <x v="3"/>
    <x v="0"/>
    <x v="138"/>
    <n v="113.94"/>
    <d v="2026-06-01T00:00:00"/>
    <x v="6"/>
  </r>
  <r>
    <s v="TXN-1527"/>
    <s v="2026-01-29"/>
    <x v="1"/>
    <n v="6"/>
    <x v="1"/>
    <x v="1"/>
    <x v="170"/>
    <n v="1080"/>
    <d v="2026-01-01T00:00:00"/>
    <x v="8"/>
  </r>
  <r>
    <s v="TXN-1528"/>
    <s v="2026-08-18"/>
    <x v="7"/>
    <n v="10"/>
    <x v="0"/>
    <x v="0"/>
    <x v="9"/>
    <n v="699.9"/>
    <d v="2026-08-01T00:00:00"/>
    <x v="4"/>
  </r>
  <r>
    <s v="TXN-1529"/>
    <s v="2026-08-09"/>
    <x v="18"/>
    <n v="8"/>
    <x v="3"/>
    <x v="0"/>
    <x v="108"/>
    <n v="159.91999999999999"/>
    <d v="2026-08-01T00:00:00"/>
    <x v="4"/>
  </r>
  <r>
    <s v="TXN-1530"/>
    <s v="2026-07-16"/>
    <x v="6"/>
    <n v="2"/>
    <x v="1"/>
    <x v="2"/>
    <x v="195"/>
    <n v="85"/>
    <d v="2026-07-01T00:00:00"/>
    <x v="2"/>
  </r>
  <r>
    <s v="TXN-1531"/>
    <s v="2026-06-14"/>
    <x v="10"/>
    <n v="4"/>
    <x v="0"/>
    <x v="2"/>
    <x v="225"/>
    <n v="1399.96"/>
    <d v="2026-06-01T00:00:00"/>
    <x v="6"/>
  </r>
  <r>
    <s v="TXN-1532"/>
    <s v="2026-01-21"/>
    <x v="27"/>
    <n v="10"/>
    <x v="1"/>
    <x v="1"/>
    <x v="203"/>
    <n v="899.9"/>
    <d v="2026-01-01T00:00:00"/>
    <x v="8"/>
  </r>
  <r>
    <s v="TXN-1533"/>
    <s v="2026-08-03"/>
    <x v="2"/>
    <n v="10"/>
    <x v="2"/>
    <x v="1"/>
    <x v="17"/>
    <n v="4990"/>
    <d v="2026-08-01T00:00:00"/>
    <x v="4"/>
  </r>
  <r>
    <s v="TXN-1534"/>
    <s v="2026-02-21"/>
    <x v="1"/>
    <n v="7"/>
    <x v="1"/>
    <x v="2"/>
    <x v="166"/>
    <n v="1260"/>
    <d v="2026-02-01T00:00:00"/>
    <x v="3"/>
  </r>
  <r>
    <s v="TXN-1535"/>
    <s v="2026-09-16"/>
    <x v="16"/>
    <n v="12"/>
    <x v="3"/>
    <x v="0"/>
    <x v="5"/>
    <n v="119.88"/>
    <d v="2026-09-01T00:00:00"/>
    <x v="1"/>
  </r>
  <r>
    <s v="TXN-1536"/>
    <s v="2026-02-03"/>
    <x v="3"/>
    <n v="7"/>
    <x v="2"/>
    <x v="0"/>
    <x v="223"/>
    <n v="59.5"/>
    <d v="2026-02-01T00:00:00"/>
    <x v="3"/>
  </r>
  <r>
    <s v="TXN-1537"/>
    <s v="2026-07-21"/>
    <x v="5"/>
    <n v="14"/>
    <x v="0"/>
    <x v="1"/>
    <x v="2"/>
    <n v="336"/>
    <d v="2026-07-01T00:00:00"/>
    <x v="2"/>
  </r>
  <r>
    <s v="TXN-1538"/>
    <s v="2026-05-27"/>
    <x v="20"/>
    <n v="6"/>
    <x v="1"/>
    <x v="2"/>
    <x v="230"/>
    <n v="479.93999999999994"/>
    <d v="2026-05-01T00:00:00"/>
    <x v="5"/>
  </r>
  <r>
    <s v="TXN-1539"/>
    <s v="2026-04-18"/>
    <x v="4"/>
    <n v="12"/>
    <x v="3"/>
    <x v="2"/>
    <x v="39"/>
    <n v="359.88"/>
    <d v="2026-04-01T00:00:00"/>
    <x v="0"/>
  </r>
  <r>
    <s v="TXN-1540"/>
    <s v="2026-08-12"/>
    <x v="20"/>
    <n v="10"/>
    <x v="1"/>
    <x v="2"/>
    <x v="231"/>
    <n v="799.9"/>
    <d v="2026-08-01T00:00:00"/>
    <x v="4"/>
  </r>
  <r>
    <s v="TXN-1541"/>
    <s v="2026-07-27"/>
    <x v="20"/>
    <n v="2"/>
    <x v="0"/>
    <x v="0"/>
    <x v="83"/>
    <n v="159.97999999999999"/>
    <d v="2026-07-01T00:00:00"/>
    <x v="2"/>
  </r>
  <r>
    <s v="TXN-1542"/>
    <s v="2026-04-20"/>
    <x v="25"/>
    <n v="14"/>
    <x v="1"/>
    <x v="2"/>
    <x v="173"/>
    <n v="265.85999999999996"/>
    <d v="2026-04-01T00:00:00"/>
    <x v="0"/>
  </r>
  <r>
    <s v="TXN-1543"/>
    <s v="2026-03-17"/>
    <x v="19"/>
    <n v="12"/>
    <x v="1"/>
    <x v="2"/>
    <x v="158"/>
    <n v="263.88"/>
    <d v="2026-03-01T00:00:00"/>
    <x v="7"/>
  </r>
  <r>
    <s v="TXN-1544"/>
    <s v="2026-08-29"/>
    <x v="23"/>
    <n v="13"/>
    <x v="1"/>
    <x v="1"/>
    <x v="133"/>
    <n v="2977"/>
    <d v="2026-08-01T00:00:00"/>
    <x v="4"/>
  </r>
  <r>
    <s v="TXN-1545"/>
    <s v="06/17/2026"/>
    <x v="8"/>
    <n v="8"/>
    <x v="0"/>
    <x v="0"/>
    <x v="171"/>
    <n v="1119.92"/>
    <d v="2026-06-01T00:00:00"/>
    <x v="6"/>
  </r>
  <r>
    <s v="TXN-1546"/>
    <s v="03/07/2026"/>
    <x v="4"/>
    <n v="9"/>
    <x v="1"/>
    <x v="0"/>
    <x v="65"/>
    <n v="269.90999999999997"/>
    <d v="2026-03-01T00:00:00"/>
    <x v="7"/>
  </r>
  <r>
    <s v="TXN-1547"/>
    <s v="08/29/2026"/>
    <x v="19"/>
    <n v="2"/>
    <x v="2"/>
    <x v="0"/>
    <x v="133"/>
    <n v="43.98"/>
    <d v="2026-08-01T00:00:00"/>
    <x v="4"/>
  </r>
  <r>
    <s v="TXN-1548"/>
    <s v="2026-07-22"/>
    <x v="20"/>
    <n v="12"/>
    <x v="3"/>
    <x v="1"/>
    <x v="214"/>
    <n v="959.87999999999988"/>
    <d v="2026-07-01T00:00:00"/>
    <x v="2"/>
  </r>
  <r>
    <s v="TXN-1549"/>
    <s v="2026-03-06"/>
    <x v="24"/>
    <n v="9"/>
    <x v="0"/>
    <x v="1"/>
    <x v="96"/>
    <n v="135"/>
    <d v="2026-03-01T00:00:00"/>
    <x v="7"/>
  </r>
  <r>
    <s v="TXN-1550"/>
    <s v="2026-09-28"/>
    <x v="16"/>
    <n v="2"/>
    <x v="1"/>
    <x v="0"/>
    <x v="179"/>
    <n v="19.98"/>
    <d v="2026-09-01T00:00:00"/>
    <x v="1"/>
  </r>
  <r>
    <s v="TXN-1551"/>
    <s v="2026-06-26"/>
    <x v="29"/>
    <n v="2"/>
    <x v="3"/>
    <x v="0"/>
    <x v="20"/>
    <n v="190"/>
    <d v="2026-06-01T00:00:00"/>
    <x v="6"/>
  </r>
  <r>
    <s v="TXN-1552"/>
    <s v="04/12/2026"/>
    <x v="22"/>
    <n v="13"/>
    <x v="1"/>
    <x v="0"/>
    <x v="52"/>
    <n v="649.87"/>
    <d v="2026-04-01T00:00:00"/>
    <x v="0"/>
  </r>
  <r>
    <s v="TXN-1553"/>
    <s v="2026-08-31"/>
    <x v="28"/>
    <n v="10"/>
    <x v="1"/>
    <x v="0"/>
    <x v="48"/>
    <n v="899.9"/>
    <d v="2026-08-01T00:00:00"/>
    <x v="4"/>
  </r>
  <r>
    <s v="TXN-1554"/>
    <s v="2026-05-17"/>
    <x v="22"/>
    <n v="13"/>
    <x v="3"/>
    <x v="1"/>
    <x v="110"/>
    <n v="649.87"/>
    <d v="2026-05-01T00:00:00"/>
    <x v="5"/>
  </r>
  <r>
    <s v="TXN-1555"/>
    <s v="2026-01-06"/>
    <x v="27"/>
    <n v="2"/>
    <x v="0"/>
    <x v="1"/>
    <x v="202"/>
    <n v="179.98"/>
    <d v="2026-01-01T00:00:00"/>
    <x v="8"/>
  </r>
  <r>
    <s v="TXN-1556"/>
    <s v="01/28/2026"/>
    <x v="29"/>
    <n v="11"/>
    <x v="3"/>
    <x v="1"/>
    <x v="87"/>
    <n v="1045"/>
    <d v="2026-01-01T00:00:00"/>
    <x v="8"/>
  </r>
  <r>
    <s v="TXN-1557"/>
    <s v="2026-09-02"/>
    <x v="23"/>
    <n v="3"/>
    <x v="3"/>
    <x v="2"/>
    <x v="187"/>
    <n v="687"/>
    <d v="2026-09-01T00:00:00"/>
    <x v="1"/>
  </r>
  <r>
    <s v="TXN-1558"/>
    <s v="2026-08-26"/>
    <x v="27"/>
    <n v="13"/>
    <x v="1"/>
    <x v="2"/>
    <x v="222"/>
    <n v="1169.8699999999999"/>
    <d v="2026-08-01T00:00:00"/>
    <x v="4"/>
  </r>
  <r>
    <s v="TXN-1559"/>
    <s v="04/20/2026"/>
    <x v="28"/>
    <n v="3"/>
    <x v="0"/>
    <x v="1"/>
    <x v="173"/>
    <n v="269.96999999999997"/>
    <d v="2026-04-01T00:00:00"/>
    <x v="0"/>
  </r>
  <r>
    <s v="TXN-1560"/>
    <s v="2026-05-29"/>
    <x v="23"/>
    <n v="6"/>
    <x v="1"/>
    <x v="0"/>
    <x v="206"/>
    <n v="1374"/>
    <d v="2026-05-01T00:00:00"/>
    <x v="5"/>
  </r>
  <r>
    <s v="TXN-1561"/>
    <s v="2026-03-12"/>
    <x v="26"/>
    <n v="4"/>
    <x v="0"/>
    <x v="0"/>
    <x v="100"/>
    <n v="180"/>
    <d v="2026-03-01T00:00:00"/>
    <x v="7"/>
  </r>
  <r>
    <s v="TXN-1562"/>
    <s v="2026-07-31"/>
    <x v="23"/>
    <n v="12"/>
    <x v="0"/>
    <x v="1"/>
    <x v="232"/>
    <n v="2748"/>
    <d v="2026-07-01T00:00:00"/>
    <x v="2"/>
  </r>
  <r>
    <s v="TXN-1563"/>
    <s v="2026-03-22"/>
    <x v="6"/>
    <n v="5"/>
    <x v="1"/>
    <x v="2"/>
    <x v="102"/>
    <n v="212.5"/>
    <d v="2026-03-01T00:00:00"/>
    <x v="7"/>
  </r>
  <r>
    <s v="TXN-1564"/>
    <s v="2026-06-05"/>
    <x v="26"/>
    <n v="4"/>
    <x v="1"/>
    <x v="2"/>
    <x v="92"/>
    <n v="180"/>
    <d v="2026-06-01T00:00:00"/>
    <x v="6"/>
  </r>
  <r>
    <s v="TXN-1565"/>
    <s v="2026-04-20"/>
    <x v="23"/>
    <n v="6"/>
    <x v="3"/>
    <x v="2"/>
    <x v="173"/>
    <n v="1374"/>
    <d v="2026-04-01T00:00:00"/>
    <x v="0"/>
  </r>
  <r>
    <s v="TXN-1566"/>
    <s v="2026-04-12"/>
    <x v="10"/>
    <n v="8"/>
    <x v="2"/>
    <x v="1"/>
    <x v="52"/>
    <n v="2799.92"/>
    <d v="2026-04-01T00:00:00"/>
    <x v="0"/>
  </r>
  <r>
    <s v="TXN-1567"/>
    <s v="2026-03-29"/>
    <x v="26"/>
    <n v="8"/>
    <x v="1"/>
    <x v="2"/>
    <x v="64"/>
    <n v="360"/>
    <d v="2026-03-01T00:00:00"/>
    <x v="7"/>
  </r>
  <r>
    <s v="TXN-1568"/>
    <s v="2026-06-25"/>
    <x v="21"/>
    <n v="6"/>
    <x v="2"/>
    <x v="1"/>
    <x v="111"/>
    <n v="779.94"/>
    <d v="2026-06-01T00:00:00"/>
    <x v="6"/>
  </r>
  <r>
    <s v="TXN-1569"/>
    <s v="2026-07-05"/>
    <x v="4"/>
    <n v="4"/>
    <x v="0"/>
    <x v="2"/>
    <x v="145"/>
    <n v="119.96"/>
    <d v="2026-07-01T00:00:00"/>
    <x v="2"/>
  </r>
  <r>
    <s v="TXN-1570"/>
    <s v="2026-08-13"/>
    <x v="24"/>
    <n v="4"/>
    <x v="1"/>
    <x v="2"/>
    <x v="186"/>
    <n v="60"/>
    <d v="2026-08-01T00:00:00"/>
    <x v="4"/>
  </r>
  <r>
    <s v="TXN-1571"/>
    <s v="2026-06-14"/>
    <x v="22"/>
    <n v="6"/>
    <x v="1"/>
    <x v="2"/>
    <x v="225"/>
    <n v="299.94"/>
    <d v="2026-06-01T00:00:00"/>
    <x v="6"/>
  </r>
  <r>
    <s v="TXN-1572"/>
    <s v="2026-08-04"/>
    <x v="29"/>
    <n v="13"/>
    <x v="3"/>
    <x v="2"/>
    <x v="50"/>
    <n v="1235"/>
    <d v="2026-08-01T00:00:00"/>
    <x v="4"/>
  </r>
  <r>
    <s v="TXN-1573"/>
    <s v="01/04/2026"/>
    <x v="16"/>
    <n v="10"/>
    <x v="0"/>
    <x v="2"/>
    <x v="151"/>
    <n v="99.9"/>
    <d v="2026-01-01T00:00:00"/>
    <x v="8"/>
  </r>
  <r>
    <s v="TXN-1574"/>
    <s v="2026-02-26"/>
    <x v="1"/>
    <n v="10"/>
    <x v="1"/>
    <x v="1"/>
    <x v="233"/>
    <n v="1800"/>
    <d v="2026-02-01T00:00:00"/>
    <x v="3"/>
  </r>
  <r>
    <s v="TXN-1575"/>
    <s v="2026-06-28"/>
    <x v="10"/>
    <n v="7"/>
    <x v="0"/>
    <x v="0"/>
    <x v="136"/>
    <n v="2449.9300000000003"/>
    <d v="2026-06-01T00:00:00"/>
    <x v="6"/>
  </r>
  <r>
    <s v="TXN-1576"/>
    <s v="2026-07-16"/>
    <x v="5"/>
    <n v="11"/>
    <x v="3"/>
    <x v="1"/>
    <x v="195"/>
    <n v="264"/>
    <d v="2026-07-01T00:00:00"/>
    <x v="2"/>
  </r>
  <r>
    <s v="TXN-1577"/>
    <s v="2026-04-14"/>
    <x v="16"/>
    <n v="14"/>
    <x v="0"/>
    <x v="2"/>
    <x v="8"/>
    <n v="139.86000000000001"/>
    <d v="2026-04-01T00:00:00"/>
    <x v="0"/>
  </r>
  <r>
    <s v="TXN-1578"/>
    <s v="2026-07-27"/>
    <x v="12"/>
    <n v="6"/>
    <x v="0"/>
    <x v="1"/>
    <x v="83"/>
    <n v="239.94"/>
    <d v="2026-07-01T00:00:00"/>
    <x v="2"/>
  </r>
  <r>
    <s v="TXN-1579"/>
    <s v="2026-04-23"/>
    <x v="6"/>
    <n v="14"/>
    <x v="3"/>
    <x v="1"/>
    <x v="167"/>
    <n v="595"/>
    <d v="2026-04-01T00:00:00"/>
    <x v="0"/>
  </r>
  <r>
    <s v="TXN-1580"/>
    <s v="2026-03-19"/>
    <x v="29"/>
    <n v="3"/>
    <x v="2"/>
    <x v="0"/>
    <x v="218"/>
    <n v="285"/>
    <d v="2026-03-01T00:00:00"/>
    <x v="7"/>
  </r>
  <r>
    <s v="TXN-1581"/>
    <s v="2026-07-16"/>
    <x v="10"/>
    <n v="6"/>
    <x v="0"/>
    <x v="0"/>
    <x v="195"/>
    <n v="2099.94"/>
    <d v="2026-07-01T00:00:00"/>
    <x v="2"/>
  </r>
  <r>
    <s v="TXN-1582"/>
    <s v="2026-04-10"/>
    <x v="1"/>
    <n v="9"/>
    <x v="0"/>
    <x v="1"/>
    <x v="86"/>
    <n v="1620"/>
    <d v="2026-04-01T00:00:00"/>
    <x v="0"/>
  </r>
  <r>
    <s v="TXN-1583"/>
    <s v="2026-01-11"/>
    <x v="18"/>
    <n v="2"/>
    <x v="3"/>
    <x v="2"/>
    <x v="123"/>
    <n v="39.979999999999997"/>
    <d v="2026-01-01T00:00:00"/>
    <x v="8"/>
  </r>
  <r>
    <s v="TXN-1584"/>
    <s v="2026-06-02"/>
    <x v="9"/>
    <n v="2"/>
    <x v="1"/>
    <x v="2"/>
    <x v="40"/>
    <n v="69.98"/>
    <d v="2026-06-01T00:00:00"/>
    <x v="6"/>
  </r>
  <r>
    <s v="TXN-1585"/>
    <s v="2026-04-26"/>
    <x v="20"/>
    <n v="6"/>
    <x v="3"/>
    <x v="2"/>
    <x v="124"/>
    <n v="479.93999999999994"/>
    <d v="2026-04-01T00:00:00"/>
    <x v="0"/>
  </r>
  <r>
    <s v="TXN-1586"/>
    <s v="2026-03-09"/>
    <x v="18"/>
    <n v="10"/>
    <x v="0"/>
    <x v="0"/>
    <x v="193"/>
    <n v="199.89999999999998"/>
    <d v="2026-03-01T00:00:00"/>
    <x v="7"/>
  </r>
  <r>
    <s v="TXN-1587"/>
    <s v="2026-09-27"/>
    <x v="10"/>
    <n v="6"/>
    <x v="3"/>
    <x v="1"/>
    <x v="74"/>
    <n v="2099.94"/>
    <d v="2026-09-01T00:00:00"/>
    <x v="1"/>
  </r>
  <r>
    <s v="TXN-1588"/>
    <s v="2026-07-25"/>
    <x v="3"/>
    <n v="7"/>
    <x v="1"/>
    <x v="1"/>
    <x v="58"/>
    <n v="59.5"/>
    <d v="2026-07-01T00:00:00"/>
    <x v="2"/>
  </r>
  <r>
    <s v="TXN-1589"/>
    <s v="03/14/2026"/>
    <x v="11"/>
    <n v="12"/>
    <x v="2"/>
    <x v="0"/>
    <x v="154"/>
    <n v="540"/>
    <d v="2026-03-01T00:00:00"/>
    <x v="7"/>
  </r>
  <r>
    <s v="TXN-1590"/>
    <s v="2026-05-24"/>
    <x v="23"/>
    <n v="12"/>
    <x v="3"/>
    <x v="1"/>
    <x v="12"/>
    <n v="2748"/>
    <d v="2026-05-01T00:00:00"/>
    <x v="5"/>
  </r>
  <r>
    <s v="TXN-1591"/>
    <s v="2026-04-07"/>
    <x v="2"/>
    <n v="1"/>
    <x v="0"/>
    <x v="0"/>
    <x v="134"/>
    <n v="499"/>
    <d v="2026-04-01T00:00:00"/>
    <x v="0"/>
  </r>
  <r>
    <s v="TXN-1592"/>
    <s v="07/06/2026"/>
    <x v="21"/>
    <n v="10"/>
    <x v="3"/>
    <x v="0"/>
    <x v="16"/>
    <n v="1299.9000000000001"/>
    <d v="2026-07-01T00:00:00"/>
    <x v="2"/>
  </r>
  <r>
    <s v="TXN-1593"/>
    <s v="2026-03-03"/>
    <x v="19"/>
    <n v="10"/>
    <x v="3"/>
    <x v="1"/>
    <x v="156"/>
    <n v="219.89999999999998"/>
    <d v="2026-03-01T00:00:00"/>
    <x v="7"/>
  </r>
  <r>
    <s v="TXN-1594"/>
    <s v="2026-09-25"/>
    <x v="19"/>
    <n v="10"/>
    <x v="3"/>
    <x v="2"/>
    <x v="194"/>
    <n v="219.89999999999998"/>
    <d v="2026-09-01T00:00:00"/>
    <x v="1"/>
  </r>
  <r>
    <s v="TXN-1595"/>
    <s v="2026-03-08"/>
    <x v="21"/>
    <n v="10"/>
    <x v="1"/>
    <x v="2"/>
    <x v="200"/>
    <n v="1299.9000000000001"/>
    <d v="2026-03-01T00:00:00"/>
    <x v="7"/>
  </r>
  <r>
    <s v="TXN-1596"/>
    <s v="2026-05-05"/>
    <x v="8"/>
    <n v="4"/>
    <x v="1"/>
    <x v="1"/>
    <x v="191"/>
    <n v="559.96"/>
    <d v="2026-05-01T00:00:00"/>
    <x v="5"/>
  </r>
  <r>
    <s v="TXN-1597"/>
    <s v="2026-06-13"/>
    <x v="22"/>
    <n v="5"/>
    <x v="0"/>
    <x v="1"/>
    <x v="62"/>
    <n v="249.95000000000002"/>
    <d v="2026-06-01T00:00:00"/>
    <x v="6"/>
  </r>
  <r>
    <s v="TXN-1598"/>
    <s v="2026-04-06"/>
    <x v="10"/>
    <n v="9"/>
    <x v="3"/>
    <x v="0"/>
    <x v="234"/>
    <n v="3149.91"/>
    <d v="2026-04-01T00:00:00"/>
    <x v="0"/>
  </r>
  <r>
    <s v="TXN-1599"/>
    <s v="04/18/2026"/>
    <x v="9"/>
    <n v="10"/>
    <x v="0"/>
    <x v="2"/>
    <x v="39"/>
    <n v="349.90000000000003"/>
    <d v="2026-04-01T00:00:00"/>
    <x v="0"/>
  </r>
  <r>
    <s v="TXN-1600"/>
    <s v="2026-03-30"/>
    <x v="23"/>
    <n v="14"/>
    <x v="2"/>
    <x v="2"/>
    <x v="120"/>
    <n v="3206"/>
    <d v="2026-03-01T00:00:00"/>
    <x v="7"/>
  </r>
  <r>
    <s v="TXN-1601"/>
    <s v="08/20/2026"/>
    <x v="1"/>
    <n v="5"/>
    <x v="0"/>
    <x v="1"/>
    <x v="235"/>
    <n v="900"/>
    <d v="2026-08-01T00:00:00"/>
    <x v="4"/>
  </r>
  <r>
    <s v="TXN-1602"/>
    <s v="2026-01-22"/>
    <x v="24"/>
    <n v="6"/>
    <x v="1"/>
    <x v="1"/>
    <x v="115"/>
    <n v="90"/>
    <d v="2026-01-01T00:00:00"/>
    <x v="8"/>
  </r>
  <r>
    <s v="TXN-1603"/>
    <s v="2026-01-19"/>
    <x v="9"/>
    <n v="2"/>
    <x v="1"/>
    <x v="2"/>
    <x v="139"/>
    <n v="69.98"/>
    <d v="2026-01-01T00:00:00"/>
    <x v="8"/>
  </r>
  <r>
    <s v="TXN-1604"/>
    <s v="09/18/2026"/>
    <x v="16"/>
    <n v="14"/>
    <x v="0"/>
    <x v="1"/>
    <x v="236"/>
    <n v="139.86000000000001"/>
    <d v="2026-09-01T00:00:00"/>
    <x v="1"/>
  </r>
  <r>
    <s v="TXN-1605"/>
    <s v="2026-09-11"/>
    <x v="18"/>
    <n v="14"/>
    <x v="1"/>
    <x v="1"/>
    <x v="67"/>
    <n v="279.85999999999996"/>
    <d v="2026-09-01T00:00:00"/>
    <x v="1"/>
  </r>
  <r>
    <s v="TXN-1606"/>
    <s v="07/29/2026"/>
    <x v="3"/>
    <n v="6"/>
    <x v="2"/>
    <x v="2"/>
    <x v="161"/>
    <n v="51"/>
    <d v="2026-07-01T00:00:00"/>
    <x v="2"/>
  </r>
  <r>
    <s v="TXN-1607"/>
    <s v="2026-05-12"/>
    <x v="19"/>
    <n v="12"/>
    <x v="3"/>
    <x v="1"/>
    <x v="27"/>
    <n v="263.88"/>
    <d v="2026-05-01T00:00:00"/>
    <x v="5"/>
  </r>
  <r>
    <s v="TXN-1608"/>
    <s v="05/05/2026"/>
    <x v="27"/>
    <n v="3"/>
    <x v="1"/>
    <x v="1"/>
    <x v="191"/>
    <n v="269.96999999999997"/>
    <d v="2026-05-01T00:00:00"/>
    <x v="5"/>
  </r>
  <r>
    <s v="TXN-1609"/>
    <s v="05/18/2026"/>
    <x v="4"/>
    <n v="11"/>
    <x v="3"/>
    <x v="1"/>
    <x v="70"/>
    <n v="329.89"/>
    <d v="2026-05-01T00:00:00"/>
    <x v="5"/>
  </r>
  <r>
    <s v="TXN-1610"/>
    <s v="2026-03-24"/>
    <x v="22"/>
    <n v="3"/>
    <x v="2"/>
    <x v="0"/>
    <x v="237"/>
    <n v="149.97"/>
    <d v="2026-03-01T00:00:00"/>
    <x v="7"/>
  </r>
  <r>
    <s v="TXN-1611"/>
    <s v="2026-03-03"/>
    <x v="21"/>
    <n v="13"/>
    <x v="0"/>
    <x v="2"/>
    <x v="156"/>
    <n v="1689.8700000000001"/>
    <d v="2026-03-01T00:00:00"/>
    <x v="7"/>
  </r>
  <r>
    <s v="TXN-1612"/>
    <s v="2026-07-21"/>
    <x v="3"/>
    <n v="9"/>
    <x v="0"/>
    <x v="0"/>
    <x v="2"/>
    <n v="76.5"/>
    <d v="2026-07-01T00:00:00"/>
    <x v="2"/>
  </r>
  <r>
    <s v="TXN-1613"/>
    <s v="2026-04-20"/>
    <x v="9"/>
    <n v="14"/>
    <x v="3"/>
    <x v="1"/>
    <x v="173"/>
    <n v="489.86"/>
    <d v="2026-04-01T00:00:00"/>
    <x v="0"/>
  </r>
  <r>
    <s v="TXN-1614"/>
    <s v="2026-06-24"/>
    <x v="3"/>
    <n v="13"/>
    <x v="2"/>
    <x v="0"/>
    <x v="208"/>
    <n v="110.5"/>
    <d v="2026-06-01T00:00:00"/>
    <x v="6"/>
  </r>
  <r>
    <s v="TXN-1615"/>
    <s v="06/14/2026"/>
    <x v="9"/>
    <n v="12"/>
    <x v="2"/>
    <x v="2"/>
    <x v="225"/>
    <n v="419.88"/>
    <d v="2026-06-01T00:00:00"/>
    <x v="6"/>
  </r>
  <r>
    <s v="TXN-1616"/>
    <s v="2026-09-20"/>
    <x v="3"/>
    <n v="5"/>
    <x v="3"/>
    <x v="2"/>
    <x v="215"/>
    <n v="42.5"/>
    <d v="2026-09-01T00:00:00"/>
    <x v="1"/>
  </r>
  <r>
    <s v="TXN-1617"/>
    <s v="2026-01-02"/>
    <x v="27"/>
    <n v="1"/>
    <x v="3"/>
    <x v="1"/>
    <x v="238"/>
    <n v="89.99"/>
    <d v="2026-01-01T00:00:00"/>
    <x v="8"/>
  </r>
  <r>
    <s v="TXN-1618"/>
    <s v="2026-08-19"/>
    <x v="1"/>
    <n v="13"/>
    <x v="1"/>
    <x v="0"/>
    <x v="4"/>
    <n v="2340"/>
    <d v="2026-08-01T00:00:00"/>
    <x v="4"/>
  </r>
  <r>
    <s v="TXN-1619"/>
    <s v="2026-04-30"/>
    <x v="3"/>
    <n v="11"/>
    <x v="0"/>
    <x v="1"/>
    <x v="205"/>
    <n v="93.5"/>
    <d v="2026-04-01T00:00:00"/>
    <x v="0"/>
  </r>
  <r>
    <s v="TXN-1620"/>
    <s v="2026-02-03"/>
    <x v="29"/>
    <n v="14"/>
    <x v="2"/>
    <x v="0"/>
    <x v="223"/>
    <n v="1330"/>
    <d v="2026-02-01T00:00:00"/>
    <x v="3"/>
  </r>
  <r>
    <s v="TXN-1621"/>
    <s v="2026-06-06"/>
    <x v="17"/>
    <n v="5"/>
    <x v="0"/>
    <x v="2"/>
    <x v="28"/>
    <n v="299.95"/>
    <d v="2026-06-01T00:00:00"/>
    <x v="6"/>
  </r>
  <r>
    <s v="TXN-1622"/>
    <s v="2026-01-24"/>
    <x v="12"/>
    <n v="10"/>
    <x v="3"/>
    <x v="2"/>
    <x v="239"/>
    <n v="399.90000000000003"/>
    <d v="2026-01-01T00:00:00"/>
    <x v="8"/>
  </r>
  <r>
    <s v="TXN-1623"/>
    <s v="2026-01-13"/>
    <x v="16"/>
    <n v="12"/>
    <x v="2"/>
    <x v="2"/>
    <x v="113"/>
    <n v="119.88"/>
    <d v="2026-01-01T00:00:00"/>
    <x v="8"/>
  </r>
  <r>
    <s v="TXN-1624"/>
    <s v="2026-01-16"/>
    <x v="0"/>
    <n v="6"/>
    <x v="1"/>
    <x v="2"/>
    <x v="98"/>
    <n v="165"/>
    <d v="2026-01-01T00:00:00"/>
    <x v="8"/>
  </r>
  <r>
    <s v="TXN-1625"/>
    <s v="2026-08-27"/>
    <x v="4"/>
    <n v="5"/>
    <x v="3"/>
    <x v="0"/>
    <x v="137"/>
    <n v="149.94999999999999"/>
    <d v="2026-08-01T00:00:00"/>
    <x v="4"/>
  </r>
  <r>
    <s v="TXN-1626"/>
    <s v="2026-03-07"/>
    <x v="19"/>
    <n v="13"/>
    <x v="3"/>
    <x v="1"/>
    <x v="65"/>
    <n v="285.87"/>
    <d v="2026-03-01T00:00:00"/>
    <x v="7"/>
  </r>
  <r>
    <s v="TXN-1627"/>
    <s v="2026-03-14"/>
    <x v="6"/>
    <n v="2"/>
    <x v="1"/>
    <x v="0"/>
    <x v="154"/>
    <n v="85"/>
    <d v="2026-03-01T00:00:00"/>
    <x v="7"/>
  </r>
  <r>
    <s v="TXN-1628"/>
    <s v="2026-02-04"/>
    <x v="15"/>
    <n v="12"/>
    <x v="2"/>
    <x v="2"/>
    <x v="196"/>
    <n v="1439.8799999999999"/>
    <d v="2026-02-01T00:00:00"/>
    <x v="3"/>
  </r>
  <r>
    <s v="TXN-1629"/>
    <s v="2026-09-22"/>
    <x v="8"/>
    <n v="13"/>
    <x v="1"/>
    <x v="0"/>
    <x v="26"/>
    <n v="1819.8700000000001"/>
    <d v="2026-09-01T00:00:00"/>
    <x v="1"/>
  </r>
  <r>
    <s v="TXN-1630"/>
    <s v="2026-04-01"/>
    <x v="29"/>
    <n v="13"/>
    <x v="0"/>
    <x v="2"/>
    <x v="103"/>
    <n v="1235"/>
    <d v="2026-04-01T00:00:00"/>
    <x v="0"/>
  </r>
  <r>
    <s v="TXN-1631"/>
    <s v="2026-03-24"/>
    <x v="6"/>
    <n v="5"/>
    <x v="2"/>
    <x v="1"/>
    <x v="237"/>
    <n v="212.5"/>
    <d v="2026-03-01T00:00:00"/>
    <x v="7"/>
  </r>
  <r>
    <s v="TXN-1632"/>
    <s v="2026-09-24"/>
    <x v="2"/>
    <n v="11"/>
    <x v="3"/>
    <x v="2"/>
    <x v="143"/>
    <n v="5489"/>
    <d v="2026-09-01T00:00:00"/>
    <x v="1"/>
  </r>
  <r>
    <s v="TXN-1633"/>
    <s v="2026-06-03"/>
    <x v="25"/>
    <n v="5"/>
    <x v="3"/>
    <x v="2"/>
    <x v="72"/>
    <n v="94.949999999999989"/>
    <d v="2026-06-01T00:00:00"/>
    <x v="6"/>
  </r>
  <r>
    <s v="TXN-1634"/>
    <s v="2026-09-19"/>
    <x v="24"/>
    <n v="5"/>
    <x v="2"/>
    <x v="0"/>
    <x v="220"/>
    <n v="75"/>
    <d v="2026-09-01T00:00:00"/>
    <x v="1"/>
  </r>
  <r>
    <s v="TXN-1635"/>
    <s v="2026-02-13"/>
    <x v="6"/>
    <n v="14"/>
    <x v="3"/>
    <x v="2"/>
    <x v="37"/>
    <n v="595"/>
    <d v="2026-02-01T00:00:00"/>
    <x v="3"/>
  </r>
  <r>
    <s v="TXN-1636"/>
    <s v="03/28/2026"/>
    <x v="29"/>
    <n v="2"/>
    <x v="2"/>
    <x v="2"/>
    <x v="125"/>
    <n v="190"/>
    <d v="2026-03-01T00:00:00"/>
    <x v="7"/>
  </r>
  <r>
    <s v="TXN-1637"/>
    <s v="2026-08-13"/>
    <x v="15"/>
    <n v="1"/>
    <x v="3"/>
    <x v="2"/>
    <x v="186"/>
    <n v="119.99"/>
    <d v="2026-08-01T00:00:00"/>
    <x v="4"/>
  </r>
  <r>
    <s v="TXN-1638"/>
    <s v="2026-01-06"/>
    <x v="9"/>
    <n v="8"/>
    <x v="1"/>
    <x v="1"/>
    <x v="202"/>
    <n v="279.92"/>
    <d v="2026-01-01T00:00:00"/>
    <x v="8"/>
  </r>
  <r>
    <s v="TXN-1639"/>
    <s v="2026-02-07"/>
    <x v="18"/>
    <n v="3"/>
    <x v="1"/>
    <x v="0"/>
    <x v="118"/>
    <n v="59.97"/>
    <d v="2026-02-01T00:00:00"/>
    <x v="3"/>
  </r>
  <r>
    <s v="TXN-1640"/>
    <s v="2026-08-21"/>
    <x v="21"/>
    <n v="7"/>
    <x v="1"/>
    <x v="2"/>
    <x v="207"/>
    <n v="909.93000000000006"/>
    <d v="2026-08-01T00:00:00"/>
    <x v="4"/>
  </r>
  <r>
    <s v="TXN-1641"/>
    <s v="2026-07-05"/>
    <x v="19"/>
    <n v="8"/>
    <x v="1"/>
    <x v="1"/>
    <x v="145"/>
    <n v="175.92"/>
    <d v="2026-07-01T00:00:00"/>
    <x v="2"/>
  </r>
  <r>
    <s v="TXN-1642"/>
    <s v="2026-03-22"/>
    <x v="1"/>
    <n v="10"/>
    <x v="1"/>
    <x v="2"/>
    <x v="102"/>
    <n v="1800"/>
    <d v="2026-03-01T00:00:00"/>
    <x v="7"/>
  </r>
  <r>
    <s v="TXN-1643"/>
    <s v="2026-07-05"/>
    <x v="1"/>
    <n v="2"/>
    <x v="0"/>
    <x v="1"/>
    <x v="145"/>
    <n v="360"/>
    <d v="2026-07-01T00:00:00"/>
    <x v="2"/>
  </r>
  <r>
    <s v="TXN-1644"/>
    <s v="2026-01-13"/>
    <x v="24"/>
    <n v="10"/>
    <x v="3"/>
    <x v="2"/>
    <x v="113"/>
    <n v="150"/>
    <d v="2026-01-01T00:00:00"/>
    <x v="8"/>
  </r>
  <r>
    <s v="TXN-1645"/>
    <s v="2026-08-20"/>
    <x v="28"/>
    <n v="12"/>
    <x v="2"/>
    <x v="0"/>
    <x v="235"/>
    <n v="1079.8799999999999"/>
    <d v="2026-08-01T00:00:00"/>
    <x v="4"/>
  </r>
  <r>
    <s v="TXN-1646"/>
    <s v="10/02/2026"/>
    <x v="5"/>
    <n v="10"/>
    <x v="2"/>
    <x v="0"/>
    <x v="53"/>
    <n v="240"/>
    <d v="2026-10-01T00:00:00"/>
    <x v="9"/>
  </r>
  <r>
    <s v="TXN-1647"/>
    <s v="2026-07-21"/>
    <x v="11"/>
    <n v="8"/>
    <x v="0"/>
    <x v="2"/>
    <x v="2"/>
    <n v="360"/>
    <d v="2026-07-01T00:00:00"/>
    <x v="2"/>
  </r>
  <r>
    <s v="TXN-1648"/>
    <s v="2026-08-07"/>
    <x v="9"/>
    <n v="10"/>
    <x v="2"/>
    <x v="0"/>
    <x v="240"/>
    <n v="349.90000000000003"/>
    <d v="2026-08-01T00:00:00"/>
    <x v="4"/>
  </r>
  <r>
    <s v="TXN-1649"/>
    <s v="2026-05-18"/>
    <x v="21"/>
    <n v="5"/>
    <x v="1"/>
    <x v="2"/>
    <x v="70"/>
    <n v="649.95000000000005"/>
    <d v="2026-05-01T00:00:00"/>
    <x v="5"/>
  </r>
  <r>
    <s v="TXN-1650"/>
    <s v="2026-07-22"/>
    <x v="1"/>
    <n v="5"/>
    <x v="1"/>
    <x v="2"/>
    <x v="214"/>
    <n v="900"/>
    <d v="2026-07-01T00:00:00"/>
    <x v="2"/>
  </r>
  <r>
    <s v="TXN-1651"/>
    <s v="2026-05-13"/>
    <x v="13"/>
    <n v="1"/>
    <x v="3"/>
    <x v="2"/>
    <x v="99"/>
    <n v="29.99"/>
    <d v="2026-05-01T00:00:00"/>
    <x v="5"/>
  </r>
  <r>
    <s v="TXN-1652"/>
    <s v="2026-04-11"/>
    <x v="23"/>
    <n v="10"/>
    <x v="0"/>
    <x v="0"/>
    <x v="172"/>
    <n v="2290"/>
    <d v="2026-04-01T00:00:00"/>
    <x v="0"/>
  </r>
  <r>
    <s v="TXN-1653"/>
    <s v="2026-01-24"/>
    <x v="28"/>
    <n v="14"/>
    <x v="2"/>
    <x v="0"/>
    <x v="239"/>
    <n v="1259.8599999999999"/>
    <d v="2026-01-01T00:00:00"/>
    <x v="8"/>
  </r>
  <r>
    <s v="TXN-1654"/>
    <s v="2026-04-17"/>
    <x v="8"/>
    <n v="8"/>
    <x v="3"/>
    <x v="2"/>
    <x v="41"/>
    <n v="1119.92"/>
    <d v="2026-04-01T00:00:00"/>
    <x v="0"/>
  </r>
  <r>
    <s v="TXN-1655"/>
    <s v="2026-05-24"/>
    <x v="22"/>
    <n v="14"/>
    <x v="1"/>
    <x v="0"/>
    <x v="12"/>
    <n v="699.86"/>
    <d v="2026-05-01T00:00:00"/>
    <x v="5"/>
  </r>
  <r>
    <s v="TXN-1656"/>
    <s v="2026-07-20"/>
    <x v="23"/>
    <n v="3"/>
    <x v="1"/>
    <x v="0"/>
    <x v="210"/>
    <n v="687"/>
    <d v="2026-07-01T00:00:00"/>
    <x v="2"/>
  </r>
  <r>
    <s v="TXN-1657"/>
    <s v="01/02/2026"/>
    <x v="5"/>
    <n v="14"/>
    <x v="3"/>
    <x v="1"/>
    <x v="238"/>
    <n v="336"/>
    <d v="2026-01-01T00:00:00"/>
    <x v="8"/>
  </r>
  <r>
    <s v="TXN-1658"/>
    <s v="2026-02-23"/>
    <x v="19"/>
    <n v="12"/>
    <x v="1"/>
    <x v="2"/>
    <x v="97"/>
    <n v="263.88"/>
    <d v="2026-02-01T00:00:00"/>
    <x v="3"/>
  </r>
  <r>
    <s v="TXN-1659"/>
    <s v="2026-08-21"/>
    <x v="13"/>
    <n v="7"/>
    <x v="3"/>
    <x v="1"/>
    <x v="207"/>
    <n v="209.92999999999998"/>
    <d v="2026-08-01T00:00:00"/>
    <x v="4"/>
  </r>
  <r>
    <s v="TXN-1660"/>
    <s v="2026-08-12"/>
    <x v="10"/>
    <n v="7"/>
    <x v="0"/>
    <x v="1"/>
    <x v="231"/>
    <n v="2449.9300000000003"/>
    <d v="2026-08-01T00:00:00"/>
    <x v="4"/>
  </r>
  <r>
    <s v="TXN-1661"/>
    <s v="10/07/2026"/>
    <x v="4"/>
    <n v="3"/>
    <x v="2"/>
    <x v="2"/>
    <x v="47"/>
    <n v="89.97"/>
    <d v="2026-10-01T00:00:00"/>
    <x v="9"/>
  </r>
  <r>
    <s v="TXN-1662"/>
    <s v="2026-01-23"/>
    <x v="24"/>
    <n v="9"/>
    <x v="2"/>
    <x v="0"/>
    <x v="213"/>
    <n v="135"/>
    <d v="2026-01-01T00:00:00"/>
    <x v="8"/>
  </r>
  <r>
    <s v="TXN-1663"/>
    <s v="2026-01-28"/>
    <x v="28"/>
    <n v="10"/>
    <x v="3"/>
    <x v="0"/>
    <x v="87"/>
    <n v="899.9"/>
    <d v="2026-01-01T00:00:00"/>
    <x v="8"/>
  </r>
  <r>
    <s v="TXN-1664"/>
    <s v="2026-04-04"/>
    <x v="8"/>
    <n v="13"/>
    <x v="3"/>
    <x v="2"/>
    <x v="175"/>
    <n v="1819.8700000000001"/>
    <d v="2026-04-01T00:00:00"/>
    <x v="0"/>
  </r>
  <r>
    <s v="TXN-1665"/>
    <s v="2026-03-18"/>
    <x v="15"/>
    <n v="2"/>
    <x v="0"/>
    <x v="0"/>
    <x v="188"/>
    <n v="239.98"/>
    <d v="2026-03-01T00:00:00"/>
    <x v="7"/>
  </r>
  <r>
    <s v="TXN-1666"/>
    <s v="2026-08-23"/>
    <x v="24"/>
    <n v="5"/>
    <x v="1"/>
    <x v="1"/>
    <x v="164"/>
    <n v="75"/>
    <d v="2026-08-01T00:00:00"/>
    <x v="4"/>
  </r>
  <r>
    <s v="TXN-1667"/>
    <s v="2026-08-27"/>
    <x v="26"/>
    <n v="10"/>
    <x v="2"/>
    <x v="2"/>
    <x v="137"/>
    <n v="450"/>
    <d v="2026-08-01T00:00:00"/>
    <x v="4"/>
  </r>
  <r>
    <s v="TXN-1668"/>
    <s v="07/27/2026"/>
    <x v="28"/>
    <n v="2"/>
    <x v="0"/>
    <x v="2"/>
    <x v="83"/>
    <n v="179.98"/>
    <d v="2026-07-01T00:00:00"/>
    <x v="2"/>
  </r>
  <r>
    <s v="TXN-1669"/>
    <s v="2026-07-06"/>
    <x v="20"/>
    <n v="11"/>
    <x v="0"/>
    <x v="1"/>
    <x v="16"/>
    <n v="879.89"/>
    <d v="2026-07-01T00:00:00"/>
    <x v="2"/>
  </r>
  <r>
    <s v="TXN-1670"/>
    <s v="2026-05-28"/>
    <x v="2"/>
    <n v="12"/>
    <x v="3"/>
    <x v="2"/>
    <x v="217"/>
    <n v="5988"/>
    <d v="2026-05-01T00:00:00"/>
    <x v="5"/>
  </r>
  <r>
    <s v="TXN-1671"/>
    <s v="2026-08-11"/>
    <x v="18"/>
    <n v="10"/>
    <x v="0"/>
    <x v="1"/>
    <x v="165"/>
    <n v="199.89999999999998"/>
    <d v="2026-08-01T00:00:00"/>
    <x v="4"/>
  </r>
  <r>
    <s v="TXN-1672"/>
    <s v="2026-06-03"/>
    <x v="9"/>
    <n v="9"/>
    <x v="0"/>
    <x v="1"/>
    <x v="72"/>
    <n v="314.91000000000003"/>
    <d v="2026-06-01T00:00:00"/>
    <x v="6"/>
  </r>
  <r>
    <s v="TXN-1673"/>
    <s v="2026-06-04"/>
    <x v="25"/>
    <n v="9"/>
    <x v="1"/>
    <x v="1"/>
    <x v="94"/>
    <n v="170.91"/>
    <d v="2026-06-01T00:00:00"/>
    <x v="6"/>
  </r>
  <r>
    <s v="TXN-1674"/>
    <s v="2026-02-12"/>
    <x v="18"/>
    <n v="9"/>
    <x v="3"/>
    <x v="2"/>
    <x v="95"/>
    <n v="179.91"/>
    <d v="2026-02-01T00:00:00"/>
    <x v="3"/>
  </r>
  <r>
    <s v="TXN-1675"/>
    <s v="2026-05-04"/>
    <x v="0"/>
    <n v="1"/>
    <x v="2"/>
    <x v="0"/>
    <x v="59"/>
    <n v="27.5"/>
    <d v="2026-05-01T00:00:00"/>
    <x v="5"/>
  </r>
  <r>
    <s v="TXN-1676"/>
    <s v="2026-03-11"/>
    <x v="12"/>
    <n v="8"/>
    <x v="1"/>
    <x v="0"/>
    <x v="241"/>
    <n v="319.92"/>
    <d v="2026-03-01T00:00:00"/>
    <x v="7"/>
  </r>
  <r>
    <s v="TXN-1677"/>
    <s v="2026-07-30"/>
    <x v="18"/>
    <n v="2"/>
    <x v="1"/>
    <x v="2"/>
    <x v="32"/>
    <n v="39.979999999999997"/>
    <d v="2026-07-01T00:00:00"/>
    <x v="2"/>
  </r>
  <r>
    <s v="TXN-1678"/>
    <s v="02/18/2026"/>
    <x v="21"/>
    <n v="7"/>
    <x v="0"/>
    <x v="1"/>
    <x v="204"/>
    <n v="909.93000000000006"/>
    <d v="2026-02-01T00:00:00"/>
    <x v="3"/>
  </r>
  <r>
    <s v="TXN-1679"/>
    <s v="2026-04-11"/>
    <x v="11"/>
    <n v="4"/>
    <x v="1"/>
    <x v="2"/>
    <x v="172"/>
    <n v="180"/>
    <d v="2026-04-01T00:00:00"/>
    <x v="0"/>
  </r>
  <r>
    <s v="TXN-1680"/>
    <s v="2026-03-09"/>
    <x v="21"/>
    <n v="10"/>
    <x v="0"/>
    <x v="1"/>
    <x v="193"/>
    <n v="1299.9000000000001"/>
    <d v="2026-03-01T00:00:00"/>
    <x v="7"/>
  </r>
  <r>
    <s v="TXN-1681"/>
    <s v="2026-09-12"/>
    <x v="8"/>
    <n v="11"/>
    <x v="3"/>
    <x v="2"/>
    <x v="146"/>
    <n v="1539.89"/>
    <d v="2026-09-01T00:00:00"/>
    <x v="1"/>
  </r>
  <r>
    <s v="TXN-1682"/>
    <s v="2026-05-13"/>
    <x v="20"/>
    <n v="5"/>
    <x v="1"/>
    <x v="0"/>
    <x v="99"/>
    <n v="399.95"/>
    <d v="2026-05-01T00:00:00"/>
    <x v="5"/>
  </r>
  <r>
    <s v="TXN-1683"/>
    <s v="2026-07-05"/>
    <x v="6"/>
    <n v="6"/>
    <x v="3"/>
    <x v="2"/>
    <x v="145"/>
    <n v="255"/>
    <d v="2026-07-01T00:00:00"/>
    <x v="2"/>
  </r>
  <r>
    <s v="TXN-1684"/>
    <s v="2026-07-29"/>
    <x v="13"/>
    <n v="10"/>
    <x v="3"/>
    <x v="2"/>
    <x v="161"/>
    <n v="299.89999999999998"/>
    <d v="2026-07-01T00:00:00"/>
    <x v="2"/>
  </r>
  <r>
    <s v="TXN-1685"/>
    <s v="2026-04-30"/>
    <x v="12"/>
    <n v="14"/>
    <x v="1"/>
    <x v="1"/>
    <x v="205"/>
    <n v="559.86"/>
    <d v="2026-04-01T00:00:00"/>
    <x v="0"/>
  </r>
  <r>
    <s v="TXN-1686"/>
    <s v="2026-08-19"/>
    <x v="17"/>
    <n v="2"/>
    <x v="2"/>
    <x v="0"/>
    <x v="4"/>
    <n v="119.98"/>
    <d v="2026-08-01T00:00:00"/>
    <x v="4"/>
  </r>
  <r>
    <s v="TXN-1687"/>
    <s v="2026-01-12"/>
    <x v="4"/>
    <n v="12"/>
    <x v="3"/>
    <x v="1"/>
    <x v="190"/>
    <n v="359.88"/>
    <d v="2026-01-01T00:00:00"/>
    <x v="8"/>
  </r>
  <r>
    <s v="TXN-1688"/>
    <s v="2026-04-10"/>
    <x v="8"/>
    <n v="7"/>
    <x v="0"/>
    <x v="1"/>
    <x v="86"/>
    <n v="979.93000000000006"/>
    <d v="2026-04-01T00:00:00"/>
    <x v="0"/>
  </r>
  <r>
    <s v="TXN-1689"/>
    <s v="2026-03-24"/>
    <x v="7"/>
    <n v="12"/>
    <x v="1"/>
    <x v="1"/>
    <x v="237"/>
    <n v="839.87999999999988"/>
    <d v="2026-03-01T00:00:00"/>
    <x v="7"/>
  </r>
  <r>
    <s v="TXN-1690"/>
    <s v="05/23/2026"/>
    <x v="28"/>
    <n v="10"/>
    <x v="3"/>
    <x v="1"/>
    <x v="229"/>
    <n v="899.9"/>
    <d v="2026-05-01T00:00:00"/>
    <x v="5"/>
  </r>
  <r>
    <s v="TXN-1691"/>
    <s v="2026-08-29"/>
    <x v="3"/>
    <n v="7"/>
    <x v="3"/>
    <x v="0"/>
    <x v="133"/>
    <n v="59.5"/>
    <d v="2026-08-01T00:00:00"/>
    <x v="4"/>
  </r>
  <r>
    <s v="TXN-1692"/>
    <s v="2026-07-21"/>
    <x v="22"/>
    <n v="1"/>
    <x v="2"/>
    <x v="0"/>
    <x v="2"/>
    <n v="49.99"/>
    <d v="2026-07-01T00:00:00"/>
    <x v="2"/>
  </r>
  <r>
    <s v="TXN-1693"/>
    <s v="2026-09-23"/>
    <x v="7"/>
    <n v="11"/>
    <x v="0"/>
    <x v="1"/>
    <x v="77"/>
    <n v="769.89"/>
    <d v="2026-09-01T00:00:00"/>
    <x v="1"/>
  </r>
  <r>
    <s v="TXN-1694"/>
    <s v="2026-09-07"/>
    <x v="23"/>
    <n v="2"/>
    <x v="1"/>
    <x v="2"/>
    <x v="36"/>
    <n v="458"/>
    <d v="2026-09-01T00:00:00"/>
    <x v="1"/>
  </r>
  <r>
    <s v="TXN-1695"/>
    <s v="2026-05-05"/>
    <x v="25"/>
    <n v="6"/>
    <x v="0"/>
    <x v="2"/>
    <x v="191"/>
    <n v="113.94"/>
    <d v="2026-05-01T00:00:00"/>
    <x v="5"/>
  </r>
  <r>
    <s v="TXN-1696"/>
    <s v="04/16/2026"/>
    <x v="12"/>
    <n v="6"/>
    <x v="2"/>
    <x v="2"/>
    <x v="76"/>
    <n v="239.94"/>
    <d v="2026-04-01T00:00:00"/>
    <x v="0"/>
  </r>
  <r>
    <s v="TXN-1697"/>
    <s v="2026-04-08"/>
    <x v="15"/>
    <n v="11"/>
    <x v="3"/>
    <x v="2"/>
    <x v="42"/>
    <n v="1319.8899999999999"/>
    <d v="2026-04-01T00:00:00"/>
    <x v="0"/>
  </r>
  <r>
    <s v="TXN-1698"/>
    <s v="2026-08-18"/>
    <x v="29"/>
    <n v="3"/>
    <x v="2"/>
    <x v="0"/>
    <x v="9"/>
    <n v="285"/>
    <d v="2026-08-01T00:00:00"/>
    <x v="4"/>
  </r>
  <r>
    <s v="TXN-1699"/>
    <s v="2026-07-15"/>
    <x v="23"/>
    <n v="14"/>
    <x v="3"/>
    <x v="0"/>
    <x v="135"/>
    <n v="3206"/>
    <d v="2026-07-01T00:00:00"/>
    <x v="2"/>
  </r>
  <r>
    <s v="TXN-1700"/>
    <s v="2026-09-23"/>
    <x v="20"/>
    <n v="9"/>
    <x v="3"/>
    <x v="2"/>
    <x v="77"/>
    <n v="719.91"/>
    <d v="2026-09-01T00:00:00"/>
    <x v="1"/>
  </r>
  <r>
    <s v="TXN-1701"/>
    <s v="2026-01-17"/>
    <x v="23"/>
    <n v="3"/>
    <x v="2"/>
    <x v="2"/>
    <x v="31"/>
    <n v="687"/>
    <d v="2026-01-01T00:00:00"/>
    <x v="8"/>
  </r>
  <r>
    <s v="TXN-1702"/>
    <s v="2026-03-10"/>
    <x v="24"/>
    <n v="2"/>
    <x v="1"/>
    <x v="0"/>
    <x v="29"/>
    <n v="30"/>
    <d v="2026-03-01T00:00:00"/>
    <x v="7"/>
  </r>
  <r>
    <s v="TXN-1703"/>
    <s v="2026-02-18"/>
    <x v="6"/>
    <n v="5"/>
    <x v="1"/>
    <x v="1"/>
    <x v="204"/>
    <n v="212.5"/>
    <d v="2026-02-01T00:00:00"/>
    <x v="3"/>
  </r>
  <r>
    <s v="TXN-1704"/>
    <s v="2026-03-28"/>
    <x v="8"/>
    <n v="8"/>
    <x v="0"/>
    <x v="2"/>
    <x v="125"/>
    <n v="1119.92"/>
    <d v="2026-03-01T00:00:00"/>
    <x v="7"/>
  </r>
  <r>
    <s v="TXN-1705"/>
    <s v="06/01/2026"/>
    <x v="13"/>
    <n v="7"/>
    <x v="2"/>
    <x v="2"/>
    <x v="69"/>
    <n v="209.92999999999998"/>
    <d v="2026-06-01T00:00:00"/>
    <x v="6"/>
  </r>
  <r>
    <s v="TXN-1706"/>
    <s v="05/10/2026"/>
    <x v="7"/>
    <n v="3"/>
    <x v="0"/>
    <x v="1"/>
    <x v="144"/>
    <n v="209.96999999999997"/>
    <d v="2026-05-01T00:00:00"/>
    <x v="5"/>
  </r>
  <r>
    <s v="TXN-1707"/>
    <s v="2026-07-25"/>
    <x v="26"/>
    <n v="14"/>
    <x v="3"/>
    <x v="1"/>
    <x v="58"/>
    <n v="630"/>
    <d v="2026-07-01T00:00:00"/>
    <x v="2"/>
  </r>
  <r>
    <s v="TXN-1708"/>
    <s v="2026-05-15"/>
    <x v="8"/>
    <n v="9"/>
    <x v="2"/>
    <x v="0"/>
    <x v="89"/>
    <n v="1259.9100000000001"/>
    <d v="2026-05-01T00:00:00"/>
    <x v="5"/>
  </r>
  <r>
    <s v="TXN-1709"/>
    <s v="2026-07-04"/>
    <x v="24"/>
    <n v="7"/>
    <x v="1"/>
    <x v="1"/>
    <x v="13"/>
    <n v="105"/>
    <d v="2026-07-01T00:00:00"/>
    <x v="2"/>
  </r>
  <r>
    <s v="TXN-1710"/>
    <s v="2026-06-02"/>
    <x v="17"/>
    <n v="13"/>
    <x v="3"/>
    <x v="1"/>
    <x v="40"/>
    <n v="779.87"/>
    <d v="2026-06-01T00:00:00"/>
    <x v="6"/>
  </r>
  <r>
    <s v="TXN-1711"/>
    <s v="2026-06-17"/>
    <x v="10"/>
    <n v="14"/>
    <x v="1"/>
    <x v="2"/>
    <x v="171"/>
    <n v="4899.8600000000006"/>
    <d v="2026-06-01T00:00:00"/>
    <x v="6"/>
  </r>
  <r>
    <s v="TXN-1712"/>
    <s v="2026-01-28"/>
    <x v="11"/>
    <n v="10"/>
    <x v="0"/>
    <x v="0"/>
    <x v="87"/>
    <n v="450"/>
    <d v="2026-01-01T00:00:00"/>
    <x v="8"/>
  </r>
  <r>
    <s v="TXN-1713"/>
    <s v="07/29/2026"/>
    <x v="9"/>
    <n v="13"/>
    <x v="3"/>
    <x v="2"/>
    <x v="161"/>
    <n v="454.87"/>
    <d v="2026-07-01T00:00:00"/>
    <x v="2"/>
  </r>
  <r>
    <s v="TXN-1714"/>
    <s v="2026-09-03"/>
    <x v="8"/>
    <n v="8"/>
    <x v="2"/>
    <x v="0"/>
    <x v="117"/>
    <n v="1119.92"/>
    <d v="2026-09-01T00:00:00"/>
    <x v="1"/>
  </r>
  <r>
    <s v="TXN-1715"/>
    <s v="2026-06-12"/>
    <x v="23"/>
    <n v="3"/>
    <x v="0"/>
    <x v="2"/>
    <x v="219"/>
    <n v="687"/>
    <d v="2026-06-01T00:00:00"/>
    <x v="6"/>
  </r>
  <r>
    <s v="TXN-1716"/>
    <s v="2026-06-26"/>
    <x v="1"/>
    <n v="1"/>
    <x v="1"/>
    <x v="0"/>
    <x v="20"/>
    <n v="180"/>
    <d v="2026-06-01T00:00:00"/>
    <x v="6"/>
  </r>
  <r>
    <s v="TXN-1717"/>
    <s v="2026-01-07"/>
    <x v="5"/>
    <n v="13"/>
    <x v="0"/>
    <x v="1"/>
    <x v="224"/>
    <n v="312"/>
    <d v="2026-01-01T00:00:00"/>
    <x v="8"/>
  </r>
  <r>
    <s v="TXN-1718"/>
    <s v="2026-05-31"/>
    <x v="0"/>
    <n v="8"/>
    <x v="2"/>
    <x v="0"/>
    <x v="160"/>
    <n v="220"/>
    <d v="2026-05-01T00:00:00"/>
    <x v="5"/>
  </r>
  <r>
    <s v="TXN-1719"/>
    <s v="2026-03-09"/>
    <x v="18"/>
    <n v="4"/>
    <x v="2"/>
    <x v="1"/>
    <x v="193"/>
    <n v="79.959999999999994"/>
    <d v="2026-03-01T00:00:00"/>
    <x v="7"/>
  </r>
  <r>
    <s v="TXN-1720"/>
    <s v="2026-09-20"/>
    <x v="14"/>
    <n v="12"/>
    <x v="0"/>
    <x v="1"/>
    <x v="215"/>
    <n v="420"/>
    <d v="2026-09-01T00:00:00"/>
    <x v="1"/>
  </r>
  <r>
    <s v="TXN-1721"/>
    <s v="2026-01-01"/>
    <x v="18"/>
    <n v="5"/>
    <x v="3"/>
    <x v="0"/>
    <x v="242"/>
    <n v="99.949999999999989"/>
    <d v="2026-01-01T00:00:00"/>
    <x v="8"/>
  </r>
  <r>
    <s v="TXN-1722"/>
    <s v="2026-05-07"/>
    <x v="19"/>
    <n v="11"/>
    <x v="3"/>
    <x v="2"/>
    <x v="116"/>
    <n v="241.89"/>
    <d v="2026-05-01T00:00:00"/>
    <x v="5"/>
  </r>
  <r>
    <s v="TXN-1723"/>
    <s v="2026-01-06"/>
    <x v="1"/>
    <n v="9"/>
    <x v="2"/>
    <x v="1"/>
    <x v="202"/>
    <n v="1620"/>
    <d v="2026-01-01T00:00:00"/>
    <x v="8"/>
  </r>
  <r>
    <s v="TXN-1724"/>
    <s v="2026-06-12"/>
    <x v="23"/>
    <n v="14"/>
    <x v="0"/>
    <x v="2"/>
    <x v="219"/>
    <n v="3206"/>
    <d v="2026-06-01T00:00:00"/>
    <x v="6"/>
  </r>
  <r>
    <s v="TXN-1725"/>
    <s v="2026-01-26"/>
    <x v="5"/>
    <n v="7"/>
    <x v="2"/>
    <x v="2"/>
    <x v="243"/>
    <n v="168"/>
    <d v="2026-01-01T00:00:00"/>
    <x v="8"/>
  </r>
  <r>
    <s v="TXN-1726"/>
    <s v="2026-03-31"/>
    <x v="9"/>
    <n v="5"/>
    <x v="3"/>
    <x v="1"/>
    <x v="147"/>
    <n v="174.95000000000002"/>
    <d v="2026-03-01T00:00:00"/>
    <x v="7"/>
  </r>
  <r>
    <s v="TXN-1727"/>
    <s v="2026-04-20"/>
    <x v="24"/>
    <n v="3"/>
    <x v="3"/>
    <x v="0"/>
    <x v="173"/>
    <n v="45"/>
    <d v="2026-04-01T00:00:00"/>
    <x v="0"/>
  </r>
  <r>
    <s v="TXN-1728"/>
    <s v="2026-03-25"/>
    <x v="1"/>
    <n v="14"/>
    <x v="3"/>
    <x v="0"/>
    <x v="106"/>
    <n v="2520"/>
    <d v="2026-03-01T00:00:00"/>
    <x v="7"/>
  </r>
  <r>
    <s v="TXN-1729"/>
    <s v="2026-07-03"/>
    <x v="12"/>
    <n v="11"/>
    <x v="3"/>
    <x v="0"/>
    <x v="244"/>
    <n v="439.89000000000004"/>
    <d v="2026-07-01T00:00:00"/>
    <x v="2"/>
  </r>
  <r>
    <s v="TXN-1730"/>
    <s v="2026-09-06"/>
    <x v="2"/>
    <n v="2"/>
    <x v="0"/>
    <x v="1"/>
    <x v="22"/>
    <n v="998"/>
    <d v="2026-09-01T00:00:00"/>
    <x v="1"/>
  </r>
  <r>
    <s v="TXN-1731"/>
    <s v="2026-03-07"/>
    <x v="7"/>
    <n v="1"/>
    <x v="3"/>
    <x v="0"/>
    <x v="65"/>
    <n v="69.989999999999995"/>
    <d v="2026-03-01T00:00:00"/>
    <x v="7"/>
  </r>
  <r>
    <s v="TXN-1732"/>
    <s v="2026-07-21"/>
    <x v="4"/>
    <n v="7"/>
    <x v="3"/>
    <x v="1"/>
    <x v="2"/>
    <n v="209.92999999999998"/>
    <d v="2026-07-01T00:00:00"/>
    <x v="2"/>
  </r>
  <r>
    <s v="TXN-1733"/>
    <s v="2026-03-09"/>
    <x v="9"/>
    <n v="10"/>
    <x v="1"/>
    <x v="1"/>
    <x v="193"/>
    <n v="349.90000000000003"/>
    <d v="2026-03-01T00:00:00"/>
    <x v="7"/>
  </r>
  <r>
    <s v="TXN-1734"/>
    <s v="2026-03-18"/>
    <x v="14"/>
    <n v="2"/>
    <x v="1"/>
    <x v="2"/>
    <x v="188"/>
    <n v="70"/>
    <d v="2026-03-01T00:00:00"/>
    <x v="7"/>
  </r>
  <r>
    <s v="TXN-1735"/>
    <s v="03/24/2026"/>
    <x v="13"/>
    <n v="4"/>
    <x v="3"/>
    <x v="2"/>
    <x v="237"/>
    <n v="119.96"/>
    <d v="2026-03-01T00:00:00"/>
    <x v="7"/>
  </r>
  <r>
    <s v="TXN-1736"/>
    <s v="2026-07-22"/>
    <x v="8"/>
    <n v="13"/>
    <x v="2"/>
    <x v="2"/>
    <x v="214"/>
    <n v="1819.8700000000001"/>
    <d v="2026-07-01T00:00:00"/>
    <x v="2"/>
  </r>
  <r>
    <s v="TXN-1737"/>
    <s v="07/21/2026"/>
    <x v="16"/>
    <n v="4"/>
    <x v="1"/>
    <x v="0"/>
    <x v="2"/>
    <n v="39.96"/>
    <d v="2026-07-01T00:00:00"/>
    <x v="2"/>
  </r>
  <r>
    <s v="TXN-1738"/>
    <s v="2026-05-13"/>
    <x v="12"/>
    <n v="6"/>
    <x v="2"/>
    <x v="1"/>
    <x v="99"/>
    <n v="239.94"/>
    <d v="2026-05-01T00:00:00"/>
    <x v="5"/>
  </r>
  <r>
    <s v="TXN-1739"/>
    <s v="2026-02-15"/>
    <x v="10"/>
    <n v="3"/>
    <x v="2"/>
    <x v="0"/>
    <x v="221"/>
    <n v="1049.97"/>
    <d v="2026-02-01T00:00:00"/>
    <x v="3"/>
  </r>
  <r>
    <s v="TXN-1740"/>
    <s v="09/01/2026"/>
    <x v="19"/>
    <n v="11"/>
    <x v="2"/>
    <x v="0"/>
    <x v="1"/>
    <n v="241.89"/>
    <d v="2026-09-01T00:00:00"/>
    <x v="1"/>
  </r>
  <r>
    <s v="TXN-1741"/>
    <s v="06/19/2026"/>
    <x v="4"/>
    <n v="9"/>
    <x v="3"/>
    <x v="0"/>
    <x v="245"/>
    <n v="269.90999999999997"/>
    <d v="2026-06-01T00:00:00"/>
    <x v="6"/>
  </r>
  <r>
    <s v="TXN-1742"/>
    <s v="2026-09-26"/>
    <x v="18"/>
    <n v="2"/>
    <x v="2"/>
    <x v="1"/>
    <x v="184"/>
    <n v="39.979999999999997"/>
    <d v="2026-09-01T00:00:00"/>
    <x v="1"/>
  </r>
  <r>
    <s v="TXN-1743"/>
    <s v="09/15/2026"/>
    <x v="5"/>
    <n v="13"/>
    <x v="3"/>
    <x v="2"/>
    <x v="14"/>
    <n v="312"/>
    <d v="2026-09-01T00:00:00"/>
    <x v="1"/>
  </r>
  <r>
    <s v="TXN-1744"/>
    <s v="2026-02-04"/>
    <x v="18"/>
    <n v="11"/>
    <x v="1"/>
    <x v="0"/>
    <x v="196"/>
    <n v="219.89"/>
    <d v="2026-02-01T00:00:00"/>
    <x v="3"/>
  </r>
  <r>
    <s v="TXN-1745"/>
    <s v="2026-04-24"/>
    <x v="8"/>
    <n v="8"/>
    <x v="1"/>
    <x v="0"/>
    <x v="51"/>
    <n v="1119.92"/>
    <d v="2026-04-01T00:00:00"/>
    <x v="0"/>
  </r>
  <r>
    <s v="TXN-1746"/>
    <s v="04/15/2026"/>
    <x v="6"/>
    <n v="11"/>
    <x v="2"/>
    <x v="0"/>
    <x v="15"/>
    <n v="467.5"/>
    <d v="2026-04-01T00:00:00"/>
    <x v="0"/>
  </r>
  <r>
    <s v="TXN-1747"/>
    <s v="2026-05-27"/>
    <x v="4"/>
    <n v="1"/>
    <x v="1"/>
    <x v="1"/>
    <x v="230"/>
    <n v="29.99"/>
    <d v="2026-05-01T00:00:00"/>
    <x v="5"/>
  </r>
  <r>
    <s v="TXN-1748"/>
    <s v="2026-01-23"/>
    <x v="10"/>
    <n v="11"/>
    <x v="1"/>
    <x v="0"/>
    <x v="213"/>
    <n v="3849.8900000000003"/>
    <d v="2026-01-01T00:00:00"/>
    <x v="8"/>
  </r>
  <r>
    <s v="TXN-1749"/>
    <s v="2026-04-18"/>
    <x v="10"/>
    <n v="14"/>
    <x v="1"/>
    <x v="1"/>
    <x v="39"/>
    <n v="4899.8600000000006"/>
    <d v="2026-04-01T00:00:00"/>
    <x v="0"/>
  </r>
  <r>
    <s v="TXN-1750"/>
    <s v="03/16/2026"/>
    <x v="15"/>
    <n v="12"/>
    <x v="1"/>
    <x v="1"/>
    <x v="73"/>
    <n v="1439.8799999999999"/>
    <d v="2026-03-01T00:00:00"/>
    <x v="7"/>
  </r>
  <r>
    <s v="TXN-1751"/>
    <s v="05/06/2026"/>
    <x v="5"/>
    <n v="7"/>
    <x v="2"/>
    <x v="2"/>
    <x v="6"/>
    <n v="168"/>
    <d v="2026-05-01T00:00:00"/>
    <x v="5"/>
  </r>
  <r>
    <s v="TXN-1752"/>
    <s v="07/15/2026"/>
    <x v="7"/>
    <n v="5"/>
    <x v="1"/>
    <x v="0"/>
    <x v="135"/>
    <n v="349.95"/>
    <d v="2026-07-01T00:00:00"/>
    <x v="2"/>
  </r>
  <r>
    <s v="TXN-1753"/>
    <s v="08/21/2026"/>
    <x v="20"/>
    <n v="13"/>
    <x v="1"/>
    <x v="1"/>
    <x v="207"/>
    <n v="1039.8699999999999"/>
    <d v="2026-08-01T00:00:00"/>
    <x v="4"/>
  </r>
  <r>
    <s v="TXN-1754"/>
    <s v="2026-10-03"/>
    <x v="22"/>
    <n v="4"/>
    <x v="3"/>
    <x v="1"/>
    <x v="122"/>
    <n v="199.96"/>
    <d v="2026-10-01T00:00:00"/>
    <x v="9"/>
  </r>
  <r>
    <s v="TXN-1755"/>
    <s v="2026-04-16"/>
    <x v="1"/>
    <n v="8"/>
    <x v="3"/>
    <x v="2"/>
    <x v="76"/>
    <n v="1440"/>
    <d v="2026-04-01T00:00:00"/>
    <x v="0"/>
  </r>
  <r>
    <s v="TXN-1756"/>
    <s v="2026-01-23"/>
    <x v="17"/>
    <n v="12"/>
    <x v="2"/>
    <x v="1"/>
    <x v="213"/>
    <n v="719.88"/>
    <d v="2026-01-01T00:00:00"/>
    <x v="8"/>
  </r>
  <r>
    <s v="TXN-1757"/>
    <s v="2026-01-16"/>
    <x v="2"/>
    <n v="6"/>
    <x v="0"/>
    <x v="1"/>
    <x v="98"/>
    <n v="2994"/>
    <d v="2026-01-01T00:00:00"/>
    <x v="8"/>
  </r>
  <r>
    <s v="TXN-1758"/>
    <s v="2026-02-05"/>
    <x v="5"/>
    <n v="9"/>
    <x v="1"/>
    <x v="2"/>
    <x v="11"/>
    <n v="216"/>
    <d v="2026-02-01T00:00:00"/>
    <x v="3"/>
  </r>
  <r>
    <s v="TXN-1759"/>
    <s v="2026-01-21"/>
    <x v="15"/>
    <n v="7"/>
    <x v="1"/>
    <x v="0"/>
    <x v="203"/>
    <n v="839.93"/>
    <d v="2026-01-01T00:00:00"/>
    <x v="8"/>
  </r>
  <r>
    <s v="TXN-1760"/>
    <s v="2026-07-06"/>
    <x v="22"/>
    <n v="6"/>
    <x v="2"/>
    <x v="0"/>
    <x v="16"/>
    <n v="299.94"/>
    <d v="2026-07-01T00:00:00"/>
    <x v="2"/>
  </r>
  <r>
    <s v="TXN-1761"/>
    <s v="2026-08-23"/>
    <x v="11"/>
    <n v="8"/>
    <x v="3"/>
    <x v="1"/>
    <x v="164"/>
    <n v="360"/>
    <d v="2026-08-01T00:00:00"/>
    <x v="4"/>
  </r>
  <r>
    <s v="TXN-1762"/>
    <s v="2026-01-07"/>
    <x v="1"/>
    <n v="12"/>
    <x v="1"/>
    <x v="2"/>
    <x v="224"/>
    <n v="2160"/>
    <d v="2026-01-01T00:00:00"/>
    <x v="8"/>
  </r>
  <r>
    <s v="TXN-1763"/>
    <s v="2026-09-01"/>
    <x v="20"/>
    <n v="11"/>
    <x v="1"/>
    <x v="0"/>
    <x v="1"/>
    <n v="879.89"/>
    <d v="2026-09-01T00:00:00"/>
    <x v="1"/>
  </r>
  <r>
    <s v="TXN-1764"/>
    <s v="2026-02-08"/>
    <x v="14"/>
    <n v="14"/>
    <x v="3"/>
    <x v="2"/>
    <x v="93"/>
    <n v="490"/>
    <d v="2026-02-01T00:00:00"/>
    <x v="3"/>
  </r>
  <r>
    <s v="TXN-1765"/>
    <s v="2026-09-10"/>
    <x v="15"/>
    <n v="10"/>
    <x v="2"/>
    <x v="2"/>
    <x v="10"/>
    <n v="1199.8999999999999"/>
    <d v="2026-09-01T00:00:00"/>
    <x v="1"/>
  </r>
  <r>
    <s v="TXN-1766"/>
    <s v="2026-06-22"/>
    <x v="12"/>
    <n v="4"/>
    <x v="2"/>
    <x v="0"/>
    <x v="66"/>
    <n v="159.96"/>
    <d v="2026-06-01T00:00:00"/>
    <x v="6"/>
  </r>
  <r>
    <s v="TXN-1767"/>
    <s v="08/05/2026"/>
    <x v="29"/>
    <n v="6"/>
    <x v="1"/>
    <x v="0"/>
    <x v="246"/>
    <n v="570"/>
    <d v="2026-08-01T00:00:00"/>
    <x v="4"/>
  </r>
  <r>
    <s v="TXN-1768"/>
    <s v="2026-04-08"/>
    <x v="26"/>
    <n v="12"/>
    <x v="1"/>
    <x v="2"/>
    <x v="42"/>
    <n v="540"/>
    <d v="2026-04-01T00:00:00"/>
    <x v="0"/>
  </r>
  <r>
    <s v="TXN-1769"/>
    <s v="2026-02-22"/>
    <x v="15"/>
    <n v="14"/>
    <x v="2"/>
    <x v="2"/>
    <x v="155"/>
    <n v="1679.86"/>
    <d v="2026-02-01T00:00:00"/>
    <x v="3"/>
  </r>
  <r>
    <s v="TXN-1770"/>
    <s v="2026-02-06"/>
    <x v="21"/>
    <n v="13"/>
    <x v="1"/>
    <x v="2"/>
    <x v="129"/>
    <n v="1689.8700000000001"/>
    <d v="2026-02-01T00:00:00"/>
    <x v="3"/>
  </r>
  <r>
    <s v="TXN-1771"/>
    <s v="2026-01-17"/>
    <x v="22"/>
    <n v="10"/>
    <x v="2"/>
    <x v="2"/>
    <x v="31"/>
    <n v="499.90000000000003"/>
    <d v="2026-01-01T00:00:00"/>
    <x v="8"/>
  </r>
  <r>
    <s v="TXN-1772"/>
    <s v="07/27/2026"/>
    <x v="22"/>
    <n v="2"/>
    <x v="3"/>
    <x v="0"/>
    <x v="83"/>
    <n v="99.98"/>
    <d v="2026-07-01T00:00:00"/>
    <x v="2"/>
  </r>
  <r>
    <s v="TXN-1773"/>
    <s v="04/17/2026"/>
    <x v="11"/>
    <n v="5"/>
    <x v="0"/>
    <x v="1"/>
    <x v="41"/>
    <n v="225"/>
    <d v="2026-04-01T00:00:00"/>
    <x v="0"/>
  </r>
  <r>
    <s v="TXN-1774"/>
    <s v="2026-02-21"/>
    <x v="26"/>
    <n v="4"/>
    <x v="3"/>
    <x v="0"/>
    <x v="166"/>
    <n v="180"/>
    <d v="2026-02-01T00:00:00"/>
    <x v="3"/>
  </r>
  <r>
    <s v="TXN-1775"/>
    <s v="2026-04-22"/>
    <x v="3"/>
    <n v="6"/>
    <x v="2"/>
    <x v="0"/>
    <x v="162"/>
    <n v="51"/>
    <d v="2026-04-01T00:00:00"/>
    <x v="0"/>
  </r>
  <r>
    <s v="TXN-1776"/>
    <s v="03/15/2026"/>
    <x v="18"/>
    <n v="6"/>
    <x v="3"/>
    <x v="2"/>
    <x v="177"/>
    <n v="119.94"/>
    <d v="2026-03-01T00:00:00"/>
    <x v="7"/>
  </r>
  <r>
    <s v="TXN-1777"/>
    <s v="2026-09-16"/>
    <x v="7"/>
    <n v="3"/>
    <x v="3"/>
    <x v="0"/>
    <x v="5"/>
    <n v="209.96999999999997"/>
    <d v="2026-09-01T00:00:00"/>
    <x v="1"/>
  </r>
  <r>
    <s v="TXN-1778"/>
    <s v="2026-03-27"/>
    <x v="0"/>
    <n v="1"/>
    <x v="3"/>
    <x v="1"/>
    <x v="168"/>
    <n v="27.5"/>
    <d v="2026-03-01T00:00:00"/>
    <x v="7"/>
  </r>
  <r>
    <s v="TXN-1779"/>
    <s v="2026-04-20"/>
    <x v="14"/>
    <n v="6"/>
    <x v="3"/>
    <x v="2"/>
    <x v="173"/>
    <n v="210"/>
    <d v="2026-04-01T00:00:00"/>
    <x v="0"/>
  </r>
  <r>
    <s v="TXN-1780"/>
    <s v="2026-06-07"/>
    <x v="7"/>
    <n v="8"/>
    <x v="1"/>
    <x v="2"/>
    <x v="130"/>
    <n v="559.91999999999996"/>
    <d v="2026-06-01T00:00:00"/>
    <x v="6"/>
  </r>
  <r>
    <s v="TXN-1781"/>
    <s v="2026-06-29"/>
    <x v="27"/>
    <n v="4"/>
    <x v="0"/>
    <x v="1"/>
    <x v="57"/>
    <n v="359.96"/>
    <d v="2026-06-01T00:00:00"/>
    <x v="6"/>
  </r>
  <r>
    <s v="TXN-1782"/>
    <s v="2026-03-18"/>
    <x v="23"/>
    <n v="2"/>
    <x v="3"/>
    <x v="1"/>
    <x v="188"/>
    <n v="458"/>
    <d v="2026-03-01T00:00:00"/>
    <x v="7"/>
  </r>
  <r>
    <s v="TXN-1783"/>
    <s v="05/05/2026"/>
    <x v="8"/>
    <n v="1"/>
    <x v="1"/>
    <x v="2"/>
    <x v="191"/>
    <n v="139.99"/>
    <d v="2026-05-01T00:00:00"/>
    <x v="5"/>
  </r>
  <r>
    <s v="TXN-1784"/>
    <s v="04/26/2026"/>
    <x v="22"/>
    <n v="13"/>
    <x v="1"/>
    <x v="2"/>
    <x v="124"/>
    <n v="649.87"/>
    <d v="2026-04-01T00:00:00"/>
    <x v="0"/>
  </r>
  <r>
    <s v="TXN-1785"/>
    <s v="2026-03-26"/>
    <x v="17"/>
    <n v="2"/>
    <x v="0"/>
    <x v="2"/>
    <x v="192"/>
    <n v="119.98"/>
    <d v="2026-03-01T00:00:00"/>
    <x v="7"/>
  </r>
  <r>
    <s v="TXN-1786"/>
    <s v="2026-03-11"/>
    <x v="12"/>
    <n v="9"/>
    <x v="2"/>
    <x v="0"/>
    <x v="241"/>
    <n v="359.91"/>
    <d v="2026-03-01T00:00:00"/>
    <x v="7"/>
  </r>
  <r>
    <s v="TXN-1787"/>
    <s v="2026-05-09"/>
    <x v="12"/>
    <n v="13"/>
    <x v="0"/>
    <x v="1"/>
    <x v="140"/>
    <n v="519.87"/>
    <d v="2026-05-01T00:00:00"/>
    <x v="5"/>
  </r>
  <r>
    <s v="TXN-1788"/>
    <s v="2026-08-31"/>
    <x v="21"/>
    <n v="6"/>
    <x v="3"/>
    <x v="1"/>
    <x v="48"/>
    <n v="779.94"/>
    <d v="2026-08-01T00:00:00"/>
    <x v="4"/>
  </r>
  <r>
    <s v="TXN-1789"/>
    <s v="02/18/2026"/>
    <x v="23"/>
    <n v="8"/>
    <x v="0"/>
    <x v="2"/>
    <x v="204"/>
    <n v="1832"/>
    <d v="2026-02-01T00:00:00"/>
    <x v="3"/>
  </r>
  <r>
    <s v="TXN-1790"/>
    <s v="2026-04-14"/>
    <x v="10"/>
    <n v="2"/>
    <x v="0"/>
    <x v="2"/>
    <x v="8"/>
    <n v="699.98"/>
    <d v="2026-04-01T00:00:00"/>
    <x v="0"/>
  </r>
  <r>
    <s v="TXN-1791"/>
    <s v="2026-05-04"/>
    <x v="27"/>
    <n v="3"/>
    <x v="2"/>
    <x v="2"/>
    <x v="59"/>
    <n v="269.96999999999997"/>
    <d v="2026-05-01T00:00:00"/>
    <x v="5"/>
  </r>
  <r>
    <s v="TXN-1792"/>
    <s v="2026-05-05"/>
    <x v="7"/>
    <n v="11"/>
    <x v="1"/>
    <x v="0"/>
    <x v="191"/>
    <n v="769.89"/>
    <d v="2026-05-01T00:00:00"/>
    <x v="5"/>
  </r>
  <r>
    <s v="TXN-1793"/>
    <s v="2026-08-16"/>
    <x v="11"/>
    <n v="4"/>
    <x v="3"/>
    <x v="0"/>
    <x v="212"/>
    <n v="180"/>
    <d v="2026-08-01T00:00:00"/>
    <x v="4"/>
  </r>
  <r>
    <s v="TXN-1794"/>
    <s v="2026-09-16"/>
    <x v="16"/>
    <n v="12"/>
    <x v="3"/>
    <x v="2"/>
    <x v="5"/>
    <n v="119.88"/>
    <d v="2026-09-01T00:00:00"/>
    <x v="1"/>
  </r>
  <r>
    <s v="TXN-1795"/>
    <s v="09/25/2026"/>
    <x v="11"/>
    <n v="9"/>
    <x v="1"/>
    <x v="0"/>
    <x v="194"/>
    <n v="405"/>
    <d v="2026-09-01T00:00:00"/>
    <x v="1"/>
  </r>
  <r>
    <s v="TXN-1796"/>
    <s v="2026-08-02"/>
    <x v="19"/>
    <n v="10"/>
    <x v="0"/>
    <x v="0"/>
    <x v="30"/>
    <n v="219.89999999999998"/>
    <d v="2026-08-01T00:00:00"/>
    <x v="4"/>
  </r>
  <r>
    <s v="TXN-1797"/>
    <s v="2026-09-27"/>
    <x v="17"/>
    <n v="5"/>
    <x v="2"/>
    <x v="1"/>
    <x v="74"/>
    <n v="299.95"/>
    <d v="2026-09-01T00:00:00"/>
    <x v="1"/>
  </r>
  <r>
    <s v="TXN-1798"/>
    <s v="2026-09-07"/>
    <x v="17"/>
    <n v="14"/>
    <x v="0"/>
    <x v="1"/>
    <x v="36"/>
    <n v="839.86"/>
    <d v="2026-09-01T00:00:00"/>
    <x v="1"/>
  </r>
  <r>
    <s v="TXN-1799"/>
    <s v="2026-09-10"/>
    <x v="18"/>
    <n v="13"/>
    <x v="2"/>
    <x v="1"/>
    <x v="10"/>
    <n v="259.87"/>
    <d v="2026-09-01T00:00:00"/>
    <x v="1"/>
  </r>
  <r>
    <s v="TXN-1800"/>
    <s v="2026-04-21"/>
    <x v="19"/>
    <n v="10"/>
    <x v="2"/>
    <x v="2"/>
    <x v="152"/>
    <n v="219.89999999999998"/>
    <d v="2026-04-01T00:00:00"/>
    <x v="0"/>
  </r>
  <r>
    <s v="TXN-1801"/>
    <s v="2026-08-24"/>
    <x v="5"/>
    <n v="12"/>
    <x v="3"/>
    <x v="2"/>
    <x v="247"/>
    <n v="288"/>
    <d v="2026-08-01T00:00:00"/>
    <x v="4"/>
  </r>
  <r>
    <s v="TXN-1802"/>
    <s v="2026-01-23"/>
    <x v="19"/>
    <n v="6"/>
    <x v="0"/>
    <x v="0"/>
    <x v="213"/>
    <n v="131.94"/>
    <d v="2026-01-01T00:00:00"/>
    <x v="8"/>
  </r>
  <r>
    <s v="TXN-1803"/>
    <s v="2026-06-30"/>
    <x v="4"/>
    <n v="1"/>
    <x v="0"/>
    <x v="0"/>
    <x v="248"/>
    <n v="29.99"/>
    <d v="2026-06-01T00:00:00"/>
    <x v="6"/>
  </r>
  <r>
    <s v="TXN-1804"/>
    <s v="2026-01-10"/>
    <x v="12"/>
    <n v="8"/>
    <x v="2"/>
    <x v="1"/>
    <x v="182"/>
    <n v="319.92"/>
    <d v="2026-01-01T00:00:00"/>
    <x v="8"/>
  </r>
  <r>
    <s v="TXN-1805"/>
    <s v="2026-09-01"/>
    <x v="4"/>
    <n v="8"/>
    <x v="2"/>
    <x v="0"/>
    <x v="1"/>
    <n v="239.92"/>
    <d v="2026-09-01T00:00:00"/>
    <x v="1"/>
  </r>
  <r>
    <s v="TXN-1806"/>
    <s v="2026-03-26"/>
    <x v="7"/>
    <n v="1"/>
    <x v="1"/>
    <x v="2"/>
    <x v="192"/>
    <n v="69.989999999999995"/>
    <d v="2026-03-01T00:00:00"/>
    <x v="7"/>
  </r>
  <r>
    <s v="TXN-1807"/>
    <s v="2026-04-19"/>
    <x v="9"/>
    <n v="3"/>
    <x v="1"/>
    <x v="0"/>
    <x v="201"/>
    <n v="104.97"/>
    <d v="2026-04-01T00:00:00"/>
    <x v="0"/>
  </r>
  <r>
    <s v="TXN-1808"/>
    <s v="03/14/2026"/>
    <x v="3"/>
    <n v="13"/>
    <x v="1"/>
    <x v="1"/>
    <x v="154"/>
    <n v="110.5"/>
    <d v="2026-03-01T00:00:00"/>
    <x v="7"/>
  </r>
  <r>
    <s v="TXN-1809"/>
    <s v="04/17/2026"/>
    <x v="28"/>
    <n v="5"/>
    <x v="2"/>
    <x v="2"/>
    <x v="41"/>
    <n v="449.95"/>
    <d v="2026-04-01T00:00:00"/>
    <x v="0"/>
  </r>
  <r>
    <s v="TXN-1810"/>
    <s v="2026-09-10"/>
    <x v="3"/>
    <n v="10"/>
    <x v="1"/>
    <x v="1"/>
    <x v="10"/>
    <n v="85"/>
    <d v="2026-09-01T00:00:00"/>
    <x v="1"/>
  </r>
  <r>
    <s v="TXN-1811"/>
    <s v="2026-08-06"/>
    <x v="18"/>
    <n v="13"/>
    <x v="2"/>
    <x v="0"/>
    <x v="153"/>
    <n v="259.87"/>
    <d v="2026-08-01T00:00:00"/>
    <x v="4"/>
  </r>
  <r>
    <s v="TXN-1812"/>
    <s v="2026-07-16"/>
    <x v="8"/>
    <n v="2"/>
    <x v="1"/>
    <x v="1"/>
    <x v="195"/>
    <n v="279.98"/>
    <d v="2026-07-01T00:00:00"/>
    <x v="2"/>
  </r>
  <r>
    <s v="TXN-1813"/>
    <s v="2026-06-08"/>
    <x v="18"/>
    <n v="3"/>
    <x v="2"/>
    <x v="0"/>
    <x v="249"/>
    <n v="59.97"/>
    <d v="2026-06-01T00:00:00"/>
    <x v="6"/>
  </r>
  <r>
    <s v="TXN-1814"/>
    <s v="2026-05-17"/>
    <x v="26"/>
    <n v="4"/>
    <x v="0"/>
    <x v="1"/>
    <x v="110"/>
    <n v="180"/>
    <d v="2026-05-01T00:00:00"/>
    <x v="5"/>
  </r>
  <r>
    <s v="TXN-1815"/>
    <s v="2026-01-15"/>
    <x v="3"/>
    <n v="9"/>
    <x v="1"/>
    <x v="0"/>
    <x v="121"/>
    <n v="76.5"/>
    <d v="2026-01-01T00:00:00"/>
    <x v="8"/>
  </r>
  <r>
    <s v="TXN-1816"/>
    <s v="2026-03-19"/>
    <x v="27"/>
    <n v="11"/>
    <x v="3"/>
    <x v="0"/>
    <x v="218"/>
    <n v="989.89"/>
    <d v="2026-03-01T00:00:00"/>
    <x v="7"/>
  </r>
  <r>
    <s v="TXN-1817"/>
    <s v="2026-07-06"/>
    <x v="19"/>
    <n v="10"/>
    <x v="1"/>
    <x v="2"/>
    <x v="16"/>
    <n v="219.89999999999998"/>
    <d v="2026-07-01T00:00:00"/>
    <x v="2"/>
  </r>
  <r>
    <s v="TXN-1818"/>
    <s v="2026-08-18"/>
    <x v="8"/>
    <n v="7"/>
    <x v="3"/>
    <x v="1"/>
    <x v="9"/>
    <n v="979.93000000000006"/>
    <d v="2026-08-01T00:00:00"/>
    <x v="4"/>
  </r>
  <r>
    <s v="TXN-1819"/>
    <s v="2026-10-06"/>
    <x v="8"/>
    <n v="4"/>
    <x v="3"/>
    <x v="1"/>
    <x v="189"/>
    <n v="559.96"/>
    <d v="2026-10-01T00:00:00"/>
    <x v="9"/>
  </r>
  <r>
    <s v="TXN-1820"/>
    <s v="2026-01-01"/>
    <x v="21"/>
    <n v="9"/>
    <x v="2"/>
    <x v="0"/>
    <x v="242"/>
    <n v="1169.9100000000001"/>
    <d v="2026-01-01T00:00:00"/>
    <x v="8"/>
  </r>
  <r>
    <s v="TXN-1821"/>
    <s v="2026-04-26"/>
    <x v="16"/>
    <n v="3"/>
    <x v="3"/>
    <x v="0"/>
    <x v="124"/>
    <n v="29.97"/>
    <d v="2026-04-01T00:00:00"/>
    <x v="0"/>
  </r>
  <r>
    <s v="TXN-1822"/>
    <s v="2026-06-05"/>
    <x v="9"/>
    <n v="5"/>
    <x v="0"/>
    <x v="0"/>
    <x v="92"/>
    <n v="174.95000000000002"/>
    <d v="2026-06-01T00:00:00"/>
    <x v="6"/>
  </r>
  <r>
    <s v="TXN-1823"/>
    <s v="2026-07-21"/>
    <x v="25"/>
    <n v="1"/>
    <x v="2"/>
    <x v="2"/>
    <x v="2"/>
    <n v="18.989999999999998"/>
    <d v="2026-07-01T00:00:00"/>
    <x v="2"/>
  </r>
  <r>
    <s v="TXN-1824"/>
    <s v="2026-03-24"/>
    <x v="27"/>
    <n v="7"/>
    <x v="0"/>
    <x v="0"/>
    <x v="237"/>
    <n v="629.92999999999995"/>
    <d v="2026-03-01T00:00:00"/>
    <x v="7"/>
  </r>
  <r>
    <s v="TXN-1825"/>
    <s v="2026-09-19"/>
    <x v="28"/>
    <n v="3"/>
    <x v="2"/>
    <x v="2"/>
    <x v="220"/>
    <n v="269.96999999999997"/>
    <d v="2026-09-01T00:00:00"/>
    <x v="1"/>
  </r>
  <r>
    <s v="TXN-1826"/>
    <s v="2026-04-02"/>
    <x v="21"/>
    <n v="2"/>
    <x v="3"/>
    <x v="2"/>
    <x v="128"/>
    <n v="259.98"/>
    <d v="2026-04-01T00:00:00"/>
    <x v="0"/>
  </r>
  <r>
    <s v="TXN-1827"/>
    <s v="2026-09-24"/>
    <x v="21"/>
    <n v="2"/>
    <x v="0"/>
    <x v="1"/>
    <x v="143"/>
    <n v="259.98"/>
    <d v="2026-09-01T00:00:00"/>
    <x v="1"/>
  </r>
  <r>
    <s v="TXN-1828"/>
    <s v="2026-04-09"/>
    <x v="12"/>
    <n v="13"/>
    <x v="0"/>
    <x v="2"/>
    <x v="46"/>
    <n v="519.87"/>
    <d v="2026-04-01T00:00:00"/>
    <x v="0"/>
  </r>
  <r>
    <s v="TXN-1829"/>
    <s v="2026-02-20"/>
    <x v="19"/>
    <n v="1"/>
    <x v="2"/>
    <x v="1"/>
    <x v="199"/>
    <n v="21.99"/>
    <d v="2026-02-01T00:00:00"/>
    <x v="3"/>
  </r>
  <r>
    <s v="TXN-1830"/>
    <s v="2026-04-12"/>
    <x v="15"/>
    <n v="13"/>
    <x v="1"/>
    <x v="0"/>
    <x v="52"/>
    <n v="1559.87"/>
    <d v="2026-04-01T00:00:00"/>
    <x v="0"/>
  </r>
  <r>
    <s v="TXN-1831"/>
    <s v="2026-06-08"/>
    <x v="18"/>
    <n v="4"/>
    <x v="1"/>
    <x v="2"/>
    <x v="249"/>
    <n v="79.959999999999994"/>
    <d v="2026-06-01T00:00:00"/>
    <x v="6"/>
  </r>
  <r>
    <s v="TXN-1832"/>
    <s v="2026-04-15"/>
    <x v="3"/>
    <n v="7"/>
    <x v="3"/>
    <x v="1"/>
    <x v="15"/>
    <n v="59.5"/>
    <d v="2026-04-01T00:00:00"/>
    <x v="0"/>
  </r>
  <r>
    <s v="TXN-1833"/>
    <s v="2026-08-23"/>
    <x v="22"/>
    <n v="8"/>
    <x v="0"/>
    <x v="1"/>
    <x v="164"/>
    <n v="399.92"/>
    <d v="2026-08-01T00:00:00"/>
    <x v="4"/>
  </r>
  <r>
    <s v="TXN-1834"/>
    <s v="2026-06-01"/>
    <x v="3"/>
    <n v="10"/>
    <x v="0"/>
    <x v="0"/>
    <x v="69"/>
    <n v="85"/>
    <d v="2026-06-01T00:00:00"/>
    <x v="6"/>
  </r>
  <r>
    <s v="TXN-1835"/>
    <s v="2026-07-28"/>
    <x v="0"/>
    <n v="8"/>
    <x v="3"/>
    <x v="0"/>
    <x v="132"/>
    <n v="220"/>
    <d v="2026-07-01T00:00:00"/>
    <x v="2"/>
  </r>
  <r>
    <s v="TXN-1836"/>
    <s v="2026-04-04"/>
    <x v="13"/>
    <n v="10"/>
    <x v="3"/>
    <x v="0"/>
    <x v="175"/>
    <n v="299.89999999999998"/>
    <d v="2026-04-01T00:00:00"/>
    <x v="0"/>
  </r>
  <r>
    <s v="TXN-1837"/>
    <s v="02/26/2026"/>
    <x v="16"/>
    <n v="8"/>
    <x v="2"/>
    <x v="2"/>
    <x v="233"/>
    <n v="79.92"/>
    <d v="2026-02-01T00:00:00"/>
    <x v="3"/>
  </r>
  <r>
    <s v="TXN-1838"/>
    <s v="2026-05-23"/>
    <x v="28"/>
    <n v="7"/>
    <x v="0"/>
    <x v="1"/>
    <x v="229"/>
    <n v="629.92999999999995"/>
    <d v="2026-05-01T00:00:00"/>
    <x v="5"/>
  </r>
  <r>
    <s v="TXN-1839"/>
    <s v="2026-06-02"/>
    <x v="14"/>
    <n v="14"/>
    <x v="2"/>
    <x v="1"/>
    <x v="40"/>
    <n v="490"/>
    <d v="2026-06-01T00:00:00"/>
    <x v="6"/>
  </r>
  <r>
    <s v="TXN-1840"/>
    <s v="2026-01-11"/>
    <x v="3"/>
    <n v="8"/>
    <x v="2"/>
    <x v="1"/>
    <x v="123"/>
    <n v="68"/>
    <d v="2026-01-01T00:00:00"/>
    <x v="8"/>
  </r>
  <r>
    <s v="TXN-1841"/>
    <s v="05/03/2026"/>
    <x v="8"/>
    <n v="6"/>
    <x v="0"/>
    <x v="2"/>
    <x v="127"/>
    <n v="839.94"/>
    <d v="2026-05-01T00:00:00"/>
    <x v="5"/>
  </r>
  <r>
    <s v="TXN-1842"/>
    <s v="2026-01-22"/>
    <x v="26"/>
    <n v="9"/>
    <x v="3"/>
    <x v="1"/>
    <x v="115"/>
    <n v="405"/>
    <d v="2026-01-01T00:00:00"/>
    <x v="8"/>
  </r>
  <r>
    <s v="TXN-1843"/>
    <s v="2026-06-08"/>
    <x v="5"/>
    <n v="10"/>
    <x v="1"/>
    <x v="0"/>
    <x v="249"/>
    <n v="240"/>
    <d v="2026-06-01T00:00:00"/>
    <x v="6"/>
  </r>
  <r>
    <s v="TXN-1844"/>
    <s v="2026-04-30"/>
    <x v="20"/>
    <n v="12"/>
    <x v="0"/>
    <x v="2"/>
    <x v="205"/>
    <n v="959.87999999999988"/>
    <d v="2026-04-01T00:00:00"/>
    <x v="0"/>
  </r>
  <r>
    <s v="TXN-1845"/>
    <s v="2026-01-12"/>
    <x v="2"/>
    <n v="2"/>
    <x v="3"/>
    <x v="0"/>
    <x v="190"/>
    <n v="998"/>
    <d v="2026-01-01T00:00:00"/>
    <x v="8"/>
  </r>
  <r>
    <s v="TXN-1846"/>
    <s v="2026-09-14"/>
    <x v="9"/>
    <n v="6"/>
    <x v="2"/>
    <x v="2"/>
    <x v="209"/>
    <n v="209.94"/>
    <d v="2026-09-01T00:00:00"/>
    <x v="1"/>
  </r>
  <r>
    <s v="TXN-1847"/>
    <s v="07/15/2026"/>
    <x v="15"/>
    <n v="12"/>
    <x v="0"/>
    <x v="1"/>
    <x v="135"/>
    <n v="1439.8799999999999"/>
    <d v="2026-07-01T00:00:00"/>
    <x v="2"/>
  </r>
  <r>
    <s v="TXN-1848"/>
    <s v="2026-03-15"/>
    <x v="27"/>
    <n v="10"/>
    <x v="0"/>
    <x v="0"/>
    <x v="177"/>
    <n v="899.9"/>
    <d v="2026-03-01T00:00:00"/>
    <x v="7"/>
  </r>
  <r>
    <s v="TXN-1849"/>
    <s v="2026-06-05"/>
    <x v="12"/>
    <n v="13"/>
    <x v="2"/>
    <x v="1"/>
    <x v="92"/>
    <n v="519.87"/>
    <d v="2026-06-01T00:00:00"/>
    <x v="6"/>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
  <r>
    <s v="PROD-001"/>
    <x v="0"/>
    <x v="0"/>
    <n v="15"/>
    <n v="45"/>
    <n v="150"/>
    <n v="600"/>
    <n v="136"/>
    <n v="464"/>
    <n v="6120"/>
    <x v="0"/>
    <n v="4080"/>
  </r>
  <r>
    <s v="PROD-003"/>
    <x v="1"/>
    <x v="0"/>
    <n v="210"/>
    <n v="499"/>
    <n v="25"/>
    <n v="80"/>
    <n v="189"/>
    <n v="-109"/>
    <n v="94311"/>
    <x v="1"/>
    <n v="54621"/>
  </r>
  <r>
    <s v="PROD-005"/>
    <x v="2"/>
    <x v="0"/>
    <n v="40"/>
    <n v="95"/>
    <n v="60"/>
    <n v="200"/>
    <n v="199"/>
    <n v="1"/>
    <n v="18905"/>
    <x v="2"/>
    <n v="10945"/>
  </r>
  <r>
    <s v="PROD-006"/>
    <x v="3"/>
    <x v="0"/>
    <n v="12"/>
    <n v="35"/>
    <n v="75"/>
    <n v="250"/>
    <n v="175"/>
    <n v="75"/>
    <n v="6125"/>
    <x v="2"/>
    <n v="4025"/>
  </r>
  <r>
    <s v="PROD-009"/>
    <x v="4"/>
    <x v="0"/>
    <n v="85"/>
    <n v="229"/>
    <n v="30"/>
    <n v="95"/>
    <n v="261"/>
    <n v="-166"/>
    <n v="59769"/>
    <x v="1"/>
    <n v="37584"/>
  </r>
  <r>
    <s v="PROD-011"/>
    <x v="5"/>
    <x v="0"/>
    <n v="25"/>
    <n v="69.989999999999995"/>
    <n v="50"/>
    <n v="180"/>
    <n v="175"/>
    <n v="5"/>
    <n v="12248.25"/>
    <x v="2"/>
    <n v="7873.25"/>
  </r>
  <r>
    <s v="PROD-012"/>
    <x v="6"/>
    <x v="0"/>
    <n v="30"/>
    <n v="79.989999999999995"/>
    <n v="40"/>
    <n v="150"/>
    <n v="225"/>
    <n v="-75"/>
    <n v="17997.75"/>
    <x v="1"/>
    <n v="11247.75"/>
  </r>
  <r>
    <s v="PROD-013"/>
    <x v="7"/>
    <x v="0"/>
    <n v="45"/>
    <n v="119.99"/>
    <n v="35"/>
    <n v="110"/>
    <n v="194"/>
    <n v="-84"/>
    <n v="23278.059999999998"/>
    <x v="1"/>
    <n v="14548.059999999998"/>
  </r>
  <r>
    <s v="PROD-014"/>
    <x v="8"/>
    <x v="0"/>
    <n v="55"/>
    <n v="139.99"/>
    <n v="45"/>
    <n v="160"/>
    <n v="246"/>
    <n v="-86"/>
    <n v="34437.54"/>
    <x v="1"/>
    <n v="20907.54"/>
  </r>
  <r>
    <s v="PROD-015"/>
    <x v="9"/>
    <x v="0"/>
    <n v="35"/>
    <n v="89.99"/>
    <n v="40"/>
    <n v="130"/>
    <n v="231"/>
    <n v="-101"/>
    <n v="20787.689999999999"/>
    <x v="1"/>
    <n v="12702.689999999999"/>
  </r>
  <r>
    <s v="PROD-002"/>
    <x v="10"/>
    <x v="1"/>
    <n v="65"/>
    <n v="180"/>
    <n v="40"/>
    <n v="120"/>
    <n v="312"/>
    <n v="-192"/>
    <n v="56160"/>
    <x v="1"/>
    <n v="35880"/>
  </r>
  <r>
    <s v="PROD-004"/>
    <x v="11"/>
    <x v="1"/>
    <n v="4.5"/>
    <n v="15"/>
    <n v="100"/>
    <n v="400"/>
    <n v="193"/>
    <n v="207"/>
    <n v="2895"/>
    <x v="0"/>
    <n v="2026.5"/>
  </r>
  <r>
    <s v="PROD-007"/>
    <x v="12"/>
    <x v="1"/>
    <n v="8"/>
    <n v="24"/>
    <n v="50"/>
    <n v="150"/>
    <n v="303"/>
    <n v="-153"/>
    <n v="7272"/>
    <x v="1"/>
    <n v="4848"/>
  </r>
  <r>
    <s v="PROD-016"/>
    <x v="13"/>
    <x v="1"/>
    <n v="3"/>
    <n v="9.99"/>
    <n v="120"/>
    <n v="500"/>
    <n v="213"/>
    <n v="287"/>
    <n v="2127.87"/>
    <x v="0"/>
    <n v="1488.87"/>
  </r>
  <r>
    <s v="PROD-017"/>
    <x v="14"/>
    <x v="1"/>
    <n v="18"/>
    <n v="45"/>
    <n v="30"/>
    <n v="90"/>
    <n v="172"/>
    <n v="-82"/>
    <n v="7740"/>
    <x v="1"/>
    <n v="4644"/>
  </r>
  <r>
    <s v="PROD-018"/>
    <x v="15"/>
    <x v="1"/>
    <n v="7.5"/>
    <n v="21.99"/>
    <n v="40"/>
    <n v="140"/>
    <n v="263"/>
    <n v="-123"/>
    <n v="5783.37"/>
    <x v="1"/>
    <n v="3810.87"/>
  </r>
  <r>
    <s v="PROD-019"/>
    <x v="16"/>
    <x v="1"/>
    <n v="14"/>
    <n v="39.99"/>
    <n v="35"/>
    <n v="110"/>
    <n v="220"/>
    <n v="-110"/>
    <n v="8797.8000000000011"/>
    <x v="1"/>
    <n v="5717.8000000000011"/>
  </r>
  <r>
    <s v="PROD-020"/>
    <x v="17"/>
    <x v="1"/>
    <n v="2.5"/>
    <n v="8.5"/>
    <n v="60"/>
    <n v="200"/>
    <n v="277"/>
    <n v="-77"/>
    <n v="2354.5"/>
    <x v="1"/>
    <n v="1662"/>
  </r>
  <r>
    <s v="PROD-021"/>
    <x v="18"/>
    <x v="1"/>
    <n v="6"/>
    <n v="18.989999999999998"/>
    <n v="80"/>
    <n v="250"/>
    <n v="157"/>
    <n v="93"/>
    <n v="2981.43"/>
    <x v="0"/>
    <n v="2039.4299999999998"/>
  </r>
  <r>
    <s v="PROD-022"/>
    <x v="19"/>
    <x v="1"/>
    <n v="45"/>
    <n v="129.99"/>
    <n v="20"/>
    <n v="65"/>
    <n v="255"/>
    <n v="-190"/>
    <n v="33147.450000000004"/>
    <x v="1"/>
    <n v="21672.450000000004"/>
  </r>
  <r>
    <s v="PROD-008"/>
    <x v="20"/>
    <x v="2"/>
    <n v="18"/>
    <n v="49.99"/>
    <n v="70"/>
    <n v="220"/>
    <n v="253"/>
    <n v="-33"/>
    <n v="12647.470000000001"/>
    <x v="1"/>
    <n v="8093.4700000000012"/>
  </r>
  <r>
    <s v="PROD-010"/>
    <x v="21"/>
    <x v="2"/>
    <n v="9"/>
    <n v="29.99"/>
    <n v="80"/>
    <n v="300"/>
    <n v="193"/>
    <n v="107"/>
    <n v="5788.07"/>
    <x v="0"/>
    <n v="4051.0699999999997"/>
  </r>
  <r>
    <s v="PROD-023"/>
    <x v="22"/>
    <x v="2"/>
    <n v="140"/>
    <n v="349.99"/>
    <n v="15"/>
    <n v="50"/>
    <n v="206"/>
    <n v="-156"/>
    <n v="72097.94"/>
    <x v="1"/>
    <n v="43257.94"/>
  </r>
  <r>
    <s v="PROD-024"/>
    <x v="23"/>
    <x v="2"/>
    <n v="11.5"/>
    <n v="29.99"/>
    <n v="50"/>
    <n v="175"/>
    <n v="102"/>
    <n v="73"/>
    <n v="3058.98"/>
    <x v="0"/>
    <n v="1885.98"/>
  </r>
  <r>
    <s v="PROD-025"/>
    <x v="24"/>
    <x v="2"/>
    <n v="22"/>
    <n v="59.99"/>
    <n v="40"/>
    <n v="130"/>
    <n v="127"/>
    <n v="3"/>
    <n v="7618.7300000000005"/>
    <x v="2"/>
    <n v="4824.7300000000005"/>
  </r>
  <r>
    <s v="PROD-026"/>
    <x v="25"/>
    <x v="2"/>
    <n v="35"/>
    <n v="89.99"/>
    <n v="25"/>
    <n v="85"/>
    <n v="249"/>
    <n v="-164"/>
    <n v="22407.51"/>
    <x v="1"/>
    <n v="13692.509999999998"/>
  </r>
  <r>
    <s v="PROD-027"/>
    <x v="26"/>
    <x v="2"/>
    <n v="9.5"/>
    <n v="27.5"/>
    <n v="60"/>
    <n v="210"/>
    <n v="95"/>
    <n v="115"/>
    <n v="2612.5"/>
    <x v="0"/>
    <n v="1710"/>
  </r>
  <r>
    <s v="PROD-028"/>
    <x v="27"/>
    <x v="2"/>
    <n v="6"/>
    <n v="19.989999999999998"/>
    <n v="70"/>
    <n v="240"/>
    <n v="281"/>
    <n v="-41"/>
    <n v="5617.19"/>
    <x v="1"/>
    <n v="3931.1899999999996"/>
  </r>
  <r>
    <s v="PROD-029"/>
    <x v="28"/>
    <x v="2"/>
    <n v="13"/>
    <n v="34.99"/>
    <n v="55"/>
    <n v="190"/>
    <n v="315"/>
    <n v="-125"/>
    <n v="11021.85"/>
    <x v="1"/>
    <n v="6926.85"/>
  </r>
  <r>
    <s v="PROD-030"/>
    <x v="29"/>
    <x v="2"/>
    <n v="16"/>
    <n v="42.5"/>
    <n v="30"/>
    <n v="100"/>
    <n v="153"/>
    <n v="-53"/>
    <n v="6502.5"/>
    <x v="1"/>
    <n v="4054.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0D9FD89-A365-4199-B143-BFD6C9231219}" name="PivotTable10" cacheId="6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26">
  <location ref="T1:W5" firstHeaderRow="1" firstDataRow="2" firstDataCol="1"/>
  <pivotFields count="12">
    <pivotField dataField="1" compact="0" outline="0" showAll="0"/>
    <pivotField compact="0" outline="0" showAll="0">
      <items count="31">
        <item x="16"/>
        <item x="3"/>
        <item x="23"/>
        <item x="0"/>
        <item x="12"/>
        <item x="6"/>
        <item x="27"/>
        <item x="17"/>
        <item x="14"/>
        <item x="7"/>
        <item x="22"/>
        <item x="10"/>
        <item x="8"/>
        <item x="18"/>
        <item x="13"/>
        <item x="5"/>
        <item x="15"/>
        <item x="20"/>
        <item x="26"/>
        <item x="2"/>
        <item x="24"/>
        <item x="4"/>
        <item x="11"/>
        <item x="29"/>
        <item x="28"/>
        <item x="19"/>
        <item x="21"/>
        <item x="1"/>
        <item x="25"/>
        <item x="9"/>
        <item t="default"/>
      </items>
    </pivotField>
    <pivotField axis="axisCol" compact="0" outline="0" showAll="0">
      <items count="4">
        <item x="0"/>
        <item x="2"/>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4">
        <item x="2"/>
        <item x="0"/>
        <item x="1"/>
        <item t="default"/>
      </items>
    </pivotField>
    <pivotField compact="0" outline="0" showAll="0"/>
  </pivotFields>
  <rowFields count="1">
    <field x="10"/>
  </rowFields>
  <rowItems count="3">
    <i>
      <x/>
    </i>
    <i>
      <x v="1"/>
    </i>
    <i>
      <x v="2"/>
    </i>
  </rowItems>
  <colFields count="1">
    <field x="2"/>
  </colFields>
  <colItems count="3">
    <i>
      <x/>
    </i>
    <i>
      <x v="1"/>
    </i>
    <i>
      <x v="2"/>
    </i>
  </colItems>
  <dataFields count="1">
    <dataField name="Count of Product ID" fld="0" subtotal="count" baseField="0" baseItem="0"/>
  </dataFields>
  <formats count="8">
    <format dxfId="15">
      <pivotArea type="all" dataOnly="0" outline="0" fieldPosition="0"/>
    </format>
    <format dxfId="6">
      <pivotArea outline="0" collapsedLevelsAreSubtotals="1" fieldPosition="0"/>
    </format>
    <format dxfId="5">
      <pivotArea type="origin" dataOnly="0" labelOnly="1" outline="0" fieldPosition="0"/>
    </format>
    <format dxfId="4">
      <pivotArea field="2" type="button" dataOnly="0" labelOnly="1" outline="0" axis="axisCol" fieldPosition="0"/>
    </format>
    <format dxfId="3">
      <pivotArea type="topRight" dataOnly="0" labelOnly="1" outline="0" fieldPosition="0"/>
    </format>
    <format dxfId="2">
      <pivotArea field="10" type="button" dataOnly="0" labelOnly="1" outline="0" axis="axisRow" fieldPosition="0"/>
    </format>
    <format dxfId="1">
      <pivotArea dataOnly="0" labelOnly="1" outline="0" fieldPosition="0">
        <references count="1">
          <reference field="10" count="0"/>
        </references>
      </pivotArea>
    </format>
    <format dxfId="0">
      <pivotArea dataOnly="0" labelOnly="1" outline="0" fieldPosition="0">
        <references count="1">
          <reference field="2" count="0"/>
        </references>
      </pivotArea>
    </format>
  </formats>
  <chartFormats count="24">
    <chartFormat chart="8" format="15" series="1">
      <pivotArea type="data" outline="0" fieldPosition="0">
        <references count="2">
          <reference field="4294967294" count="1" selected="0">
            <x v="0"/>
          </reference>
          <reference field="2" count="1" selected="0">
            <x v="0"/>
          </reference>
        </references>
      </pivotArea>
    </chartFormat>
    <chartFormat chart="8" format="16">
      <pivotArea type="data" outline="0" fieldPosition="0">
        <references count="3">
          <reference field="4294967294" count="1" selected="0">
            <x v="0"/>
          </reference>
          <reference field="2" count="1" selected="0">
            <x v="0"/>
          </reference>
          <reference field="10" count="1" selected="0">
            <x v="0"/>
          </reference>
        </references>
      </pivotArea>
    </chartFormat>
    <chartFormat chart="8" format="17">
      <pivotArea type="data" outline="0" fieldPosition="0">
        <references count="3">
          <reference field="4294967294" count="1" selected="0">
            <x v="0"/>
          </reference>
          <reference field="2" count="1" selected="0">
            <x v="0"/>
          </reference>
          <reference field="10" count="1" selected="0">
            <x v="1"/>
          </reference>
        </references>
      </pivotArea>
    </chartFormat>
    <chartFormat chart="8" format="18">
      <pivotArea type="data" outline="0" fieldPosition="0">
        <references count="3">
          <reference field="4294967294" count="1" selected="0">
            <x v="0"/>
          </reference>
          <reference field="2" count="1" selected="0">
            <x v="0"/>
          </reference>
          <reference field="10" count="1" selected="0">
            <x v="2"/>
          </reference>
        </references>
      </pivotArea>
    </chartFormat>
    <chartFormat chart="8" format="19" series="1">
      <pivotArea type="data" outline="0" fieldPosition="0">
        <references count="2">
          <reference field="4294967294" count="1" selected="0">
            <x v="0"/>
          </reference>
          <reference field="2" count="1" selected="0">
            <x v="1"/>
          </reference>
        </references>
      </pivotArea>
    </chartFormat>
    <chartFormat chart="8" format="20">
      <pivotArea type="data" outline="0" fieldPosition="0">
        <references count="3">
          <reference field="4294967294" count="1" selected="0">
            <x v="0"/>
          </reference>
          <reference field="2" count="1" selected="0">
            <x v="1"/>
          </reference>
          <reference field="10" count="1" selected="0">
            <x v="0"/>
          </reference>
        </references>
      </pivotArea>
    </chartFormat>
    <chartFormat chart="8" format="21">
      <pivotArea type="data" outline="0" fieldPosition="0">
        <references count="3">
          <reference field="4294967294" count="1" selected="0">
            <x v="0"/>
          </reference>
          <reference field="2" count="1" selected="0">
            <x v="1"/>
          </reference>
          <reference field="10" count="1" selected="0">
            <x v="1"/>
          </reference>
        </references>
      </pivotArea>
    </chartFormat>
    <chartFormat chart="8" format="22">
      <pivotArea type="data" outline="0" fieldPosition="0">
        <references count="3">
          <reference field="4294967294" count="1" selected="0">
            <x v="0"/>
          </reference>
          <reference field="2" count="1" selected="0">
            <x v="1"/>
          </reference>
          <reference field="10" count="1" selected="0">
            <x v="2"/>
          </reference>
        </references>
      </pivotArea>
    </chartFormat>
    <chartFormat chart="8" format="23" series="1">
      <pivotArea type="data" outline="0" fieldPosition="0">
        <references count="2">
          <reference field="4294967294" count="1" selected="0">
            <x v="0"/>
          </reference>
          <reference field="2" count="1" selected="0">
            <x v="2"/>
          </reference>
        </references>
      </pivotArea>
    </chartFormat>
    <chartFormat chart="8" format="24">
      <pivotArea type="data" outline="0" fieldPosition="0">
        <references count="3">
          <reference field="4294967294" count="1" selected="0">
            <x v="0"/>
          </reference>
          <reference field="2" count="1" selected="0">
            <x v="2"/>
          </reference>
          <reference field="10" count="1" selected="0">
            <x v="0"/>
          </reference>
        </references>
      </pivotArea>
    </chartFormat>
    <chartFormat chart="8" format="25">
      <pivotArea type="data" outline="0" fieldPosition="0">
        <references count="3">
          <reference field="4294967294" count="1" selected="0">
            <x v="0"/>
          </reference>
          <reference field="2" count="1" selected="0">
            <x v="2"/>
          </reference>
          <reference field="10" count="1" selected="0">
            <x v="1"/>
          </reference>
        </references>
      </pivotArea>
    </chartFormat>
    <chartFormat chart="8" format="26">
      <pivotArea type="data" outline="0" fieldPosition="0">
        <references count="3">
          <reference field="4294967294" count="1" selected="0">
            <x v="0"/>
          </reference>
          <reference field="2" count="1" selected="0">
            <x v="2"/>
          </reference>
          <reference field="10" count="1" selected="0">
            <x v="2"/>
          </reference>
        </references>
      </pivotArea>
    </chartFormat>
    <chartFormat chart="9" format="0" series="1">
      <pivotArea type="data" outline="0" fieldPosition="0">
        <references count="2">
          <reference field="4294967294" count="1" selected="0">
            <x v="0"/>
          </reference>
          <reference field="2" count="1" selected="0">
            <x v="0"/>
          </reference>
        </references>
      </pivotArea>
    </chartFormat>
    <chartFormat chart="9" format="1" series="1">
      <pivotArea type="data" outline="0" fieldPosition="0">
        <references count="2">
          <reference field="4294967294" count="1" selected="0">
            <x v="0"/>
          </reference>
          <reference field="2" count="1" selected="0">
            <x v="1"/>
          </reference>
        </references>
      </pivotArea>
    </chartFormat>
    <chartFormat chart="9" format="2" series="1">
      <pivotArea type="data" outline="0" fieldPosition="0">
        <references count="2">
          <reference field="4294967294" count="1" selected="0">
            <x v="0"/>
          </reference>
          <reference field="2" count="1" selected="0">
            <x v="2"/>
          </reference>
        </references>
      </pivotArea>
    </chartFormat>
    <chartFormat chart="10" format="3" series="1">
      <pivotArea type="data" outline="0" fieldPosition="0">
        <references count="2">
          <reference field="4294967294" count="1" selected="0">
            <x v="0"/>
          </reference>
          <reference field="2" count="1" selected="0">
            <x v="0"/>
          </reference>
        </references>
      </pivotArea>
    </chartFormat>
    <chartFormat chart="10" format="4" series="1">
      <pivotArea type="data" outline="0" fieldPosition="0">
        <references count="2">
          <reference field="4294967294" count="1" selected="0">
            <x v="0"/>
          </reference>
          <reference field="2" count="1" selected="0">
            <x v="1"/>
          </reference>
        </references>
      </pivotArea>
    </chartFormat>
    <chartFormat chart="10" format="5" series="1">
      <pivotArea type="data" outline="0" fieldPosition="0">
        <references count="2">
          <reference field="4294967294" count="1" selected="0">
            <x v="0"/>
          </reference>
          <reference field="2" count="1" selected="0">
            <x v="2"/>
          </reference>
        </references>
      </pivotArea>
    </chartFormat>
    <chartFormat chart="11" format="6" series="1">
      <pivotArea type="data" outline="0" fieldPosition="0">
        <references count="2">
          <reference field="4294967294" count="1" selected="0">
            <x v="0"/>
          </reference>
          <reference field="2" count="1" selected="0">
            <x v="0"/>
          </reference>
        </references>
      </pivotArea>
    </chartFormat>
    <chartFormat chart="11" format="7" series="1">
      <pivotArea type="data" outline="0" fieldPosition="0">
        <references count="2">
          <reference field="4294967294" count="1" selected="0">
            <x v="0"/>
          </reference>
          <reference field="2" count="1" selected="0">
            <x v="1"/>
          </reference>
        </references>
      </pivotArea>
    </chartFormat>
    <chartFormat chart="11" format="8" series="1">
      <pivotArea type="data" outline="0" fieldPosition="0">
        <references count="2">
          <reference field="4294967294" count="1" selected="0">
            <x v="0"/>
          </reference>
          <reference field="2" count="1" selected="0">
            <x v="2"/>
          </reference>
        </references>
      </pivotArea>
    </chartFormat>
    <chartFormat chart="12" format="6" series="1">
      <pivotArea type="data" outline="0" fieldPosition="0">
        <references count="2">
          <reference field="4294967294" count="1" selected="0">
            <x v="0"/>
          </reference>
          <reference field="2" count="1" selected="0">
            <x v="0"/>
          </reference>
        </references>
      </pivotArea>
    </chartFormat>
    <chartFormat chart="12" format="7" series="1">
      <pivotArea type="data" outline="0" fieldPosition="0">
        <references count="2">
          <reference field="4294967294" count="1" selected="0">
            <x v="0"/>
          </reference>
          <reference field="2" count="1" selected="0">
            <x v="1"/>
          </reference>
        </references>
      </pivotArea>
    </chartFormat>
    <chartFormat chart="12" format="8" series="1">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2FF8F13-531B-40FA-A6B8-6B9378148D97}" name="PivotTable1" cacheId="6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26">
  <location ref="A3:D7" firstHeaderRow="1" firstDataRow="2" firstDataCol="1"/>
  <pivotFields count="12">
    <pivotField dataField="1" compact="0" outline="0" showAll="0"/>
    <pivotField compact="0" outline="0" showAll="0">
      <items count="31">
        <item x="16"/>
        <item x="3"/>
        <item x="23"/>
        <item x="0"/>
        <item x="12"/>
        <item x="6"/>
        <item x="27"/>
        <item x="17"/>
        <item x="14"/>
        <item x="7"/>
        <item x="22"/>
        <item x="10"/>
        <item x="8"/>
        <item x="18"/>
        <item x="13"/>
        <item x="5"/>
        <item x="15"/>
        <item x="20"/>
        <item x="26"/>
        <item x="2"/>
        <item x="24"/>
        <item x="4"/>
        <item x="11"/>
        <item x="29"/>
        <item x="28"/>
        <item x="19"/>
        <item x="21"/>
        <item x="1"/>
        <item x="25"/>
        <item x="9"/>
        <item t="default"/>
      </items>
    </pivotField>
    <pivotField axis="axisCol" compact="0" outline="0" showAll="0">
      <items count="4">
        <item x="0"/>
        <item x="2"/>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4">
        <item x="2"/>
        <item x="0"/>
        <item x="1"/>
        <item t="default"/>
      </items>
    </pivotField>
    <pivotField compact="0" outline="0" showAll="0"/>
  </pivotFields>
  <rowFields count="1">
    <field x="10"/>
  </rowFields>
  <rowItems count="3">
    <i>
      <x/>
    </i>
    <i>
      <x v="1"/>
    </i>
    <i>
      <x v="2"/>
    </i>
  </rowItems>
  <colFields count="1">
    <field x="2"/>
  </colFields>
  <colItems count="3">
    <i>
      <x/>
    </i>
    <i>
      <x v="1"/>
    </i>
    <i>
      <x v="2"/>
    </i>
  </colItems>
  <dataFields count="1">
    <dataField name="Count of Product ID" fld="0" subtotal="count" baseField="0" baseItem="0"/>
  </dataFields>
  <chartFormats count="12">
    <chartFormat chart="9" format="0" series="1">
      <pivotArea type="data" outline="0" fieldPosition="0">
        <references count="2">
          <reference field="4294967294" count="1" selected="0">
            <x v="0"/>
          </reference>
          <reference field="2" count="1" selected="0">
            <x v="0"/>
          </reference>
        </references>
      </pivotArea>
    </chartFormat>
    <chartFormat chart="9" format="1" series="1">
      <pivotArea type="data" outline="0" fieldPosition="0">
        <references count="2">
          <reference field="4294967294" count="1" selected="0">
            <x v="0"/>
          </reference>
          <reference field="2" count="1" selected="0">
            <x v="1"/>
          </reference>
        </references>
      </pivotArea>
    </chartFormat>
    <chartFormat chart="9" format="2" series="1">
      <pivotArea type="data" outline="0" fieldPosition="0">
        <references count="2">
          <reference field="4294967294" count="1" selected="0">
            <x v="0"/>
          </reference>
          <reference field="2" count="1" selected="0">
            <x v="2"/>
          </reference>
        </references>
      </pivotArea>
    </chartFormat>
    <chartFormat chart="10" format="3" series="1">
      <pivotArea type="data" outline="0" fieldPosition="0">
        <references count="2">
          <reference field="4294967294" count="1" selected="0">
            <x v="0"/>
          </reference>
          <reference field="2" count="1" selected="0">
            <x v="0"/>
          </reference>
        </references>
      </pivotArea>
    </chartFormat>
    <chartFormat chart="10" format="4" series="1">
      <pivotArea type="data" outline="0" fieldPosition="0">
        <references count="2">
          <reference field="4294967294" count="1" selected="0">
            <x v="0"/>
          </reference>
          <reference field="2" count="1" selected="0">
            <x v="1"/>
          </reference>
        </references>
      </pivotArea>
    </chartFormat>
    <chartFormat chart="10" format="5" series="1">
      <pivotArea type="data" outline="0" fieldPosition="0">
        <references count="2">
          <reference field="4294967294" count="1" selected="0">
            <x v="0"/>
          </reference>
          <reference field="2" count="1" selected="0">
            <x v="2"/>
          </reference>
        </references>
      </pivotArea>
    </chartFormat>
    <chartFormat chart="11" format="6" series="1">
      <pivotArea type="data" outline="0" fieldPosition="0">
        <references count="2">
          <reference field="4294967294" count="1" selected="0">
            <x v="0"/>
          </reference>
          <reference field="2" count="1" selected="0">
            <x v="0"/>
          </reference>
        </references>
      </pivotArea>
    </chartFormat>
    <chartFormat chart="11" format="7" series="1">
      <pivotArea type="data" outline="0" fieldPosition="0">
        <references count="2">
          <reference field="4294967294" count="1" selected="0">
            <x v="0"/>
          </reference>
          <reference field="2" count="1" selected="0">
            <x v="1"/>
          </reference>
        </references>
      </pivotArea>
    </chartFormat>
    <chartFormat chart="11" format="8" series="1">
      <pivotArea type="data" outline="0" fieldPosition="0">
        <references count="2">
          <reference field="4294967294" count="1" selected="0">
            <x v="0"/>
          </reference>
          <reference field="2" count="1" selected="0">
            <x v="2"/>
          </reference>
        </references>
      </pivotArea>
    </chartFormat>
    <chartFormat chart="12" format="6" series="1">
      <pivotArea type="data" outline="0" fieldPosition="0">
        <references count="2">
          <reference field="4294967294" count="1" selected="0">
            <x v="0"/>
          </reference>
          <reference field="2" count="1" selected="0">
            <x v="0"/>
          </reference>
        </references>
      </pivotArea>
    </chartFormat>
    <chartFormat chart="12" format="7" series="1">
      <pivotArea type="data" outline="0" fieldPosition="0">
        <references count="2">
          <reference field="4294967294" count="1" selected="0">
            <x v="0"/>
          </reference>
          <reference field="2" count="1" selected="0">
            <x v="1"/>
          </reference>
        </references>
      </pivotArea>
    </chartFormat>
    <chartFormat chart="12" format="8" series="1">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D92518E-9ACF-4496-AFD5-339746F98AA0}" name="PivotTable9" cacheId="6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22:B26" firstHeaderRow="1" firstDataRow="1" firstDataCol="1"/>
  <pivotFields count="12">
    <pivotField showAll="0"/>
    <pivotField showAll="0"/>
    <pivotField axis="axisRow" showAll="0">
      <items count="4">
        <item x="0"/>
        <item x="2"/>
        <item x="1"/>
        <item t="default"/>
      </items>
    </pivotField>
    <pivotField showAll="0"/>
    <pivotField showAll="0"/>
    <pivotField showAll="0"/>
    <pivotField showAll="0"/>
    <pivotField showAll="0"/>
    <pivotField showAll="0"/>
    <pivotField showAll="0"/>
    <pivotField showAll="0"/>
    <pivotField dataField="1" showAll="0"/>
  </pivotFields>
  <rowFields count="1">
    <field x="2"/>
  </rowFields>
  <rowItems count="4">
    <i>
      <x/>
    </i>
    <i>
      <x v="1"/>
    </i>
    <i>
      <x v="2"/>
    </i>
    <i t="grand">
      <x/>
    </i>
  </rowItems>
  <colItems count="1">
    <i/>
  </colItems>
  <dataFields count="1">
    <dataField name="Sum of Profit" fld="11" baseField="0" baseItem="0"/>
  </dataFields>
  <chartFormats count="1">
    <chartFormat chart="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CADAE73-834F-41AA-BFD2-F06B0D96EEB7}" name="PivotTable4" cacheId="6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N4:N5" firstHeaderRow="1" firstDataRow="1" firstDataCol="0"/>
  <pivotFields count="12">
    <pivotField showAll="0"/>
    <pivotField showAll="0"/>
    <pivotField showAll="0"/>
    <pivotField showAll="0"/>
    <pivotField showAll="0"/>
    <pivotField showAll="0"/>
    <pivotField showAll="0"/>
    <pivotField showAll="0"/>
    <pivotField showAll="0"/>
    <pivotField showAll="0"/>
    <pivotField showAll="0"/>
    <pivotField dataField="1" showAll="0"/>
  </pivotFields>
  <rowItems count="1">
    <i/>
  </rowItems>
  <colItems count="1">
    <i/>
  </colItems>
  <dataFields count="1">
    <dataField name="Sum of Profit" fld="1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4D647BB-85A1-411C-B46E-6C890B1BCCAB}" name="PivotTable2" cacheId="6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K5:L36" firstHeaderRow="1" firstDataRow="1" firstDataCol="1"/>
  <pivotFields count="12">
    <pivotField showAll="0"/>
    <pivotField axis="axisRow" showAll="0">
      <items count="31">
        <item x="16"/>
        <item x="3"/>
        <item x="23"/>
        <item x="0"/>
        <item x="12"/>
        <item x="6"/>
        <item x="27"/>
        <item x="17"/>
        <item x="14"/>
        <item x="7"/>
        <item x="22"/>
        <item x="10"/>
        <item x="8"/>
        <item x="18"/>
        <item x="13"/>
        <item x="5"/>
        <item x="15"/>
        <item x="20"/>
        <item x="26"/>
        <item x="2"/>
        <item x="24"/>
        <item x="4"/>
        <item x="11"/>
        <item x="29"/>
        <item x="28"/>
        <item x="19"/>
        <item x="21"/>
        <item x="1"/>
        <item x="25"/>
        <item x="9"/>
        <item t="default"/>
      </items>
    </pivotField>
    <pivotField showAll="0"/>
    <pivotField dataField="1" showAll="0"/>
    <pivotField showAll="0"/>
    <pivotField showAll="0"/>
    <pivotField showAll="0"/>
    <pivotField showAll="0"/>
    <pivotField showAll="0"/>
    <pivotField showAll="0"/>
    <pivotField showAll="0"/>
    <pivotField showAll="0"/>
  </pivotFields>
  <rowFields count="1">
    <field x="1"/>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Sum of Unit Cost"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2192F4C-A946-4814-8819-1EBD1CC2FDDA}" name="PivotTable1" cacheId="6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18:J49" firstHeaderRow="1" firstDataRow="1" firstDataCol="1"/>
  <pivotFields count="12">
    <pivotField showAll="0"/>
    <pivotField axis="axisRow" showAll="0">
      <items count="31">
        <item x="16"/>
        <item x="3"/>
        <item x="23"/>
        <item x="0"/>
        <item x="12"/>
        <item x="6"/>
        <item x="27"/>
        <item x="17"/>
        <item x="14"/>
        <item x="7"/>
        <item x="22"/>
        <item x="10"/>
        <item x="8"/>
        <item x="18"/>
        <item x="13"/>
        <item x="5"/>
        <item x="15"/>
        <item x="20"/>
        <item x="26"/>
        <item x="2"/>
        <item x="24"/>
        <item x="4"/>
        <item x="11"/>
        <item x="29"/>
        <item x="28"/>
        <item x="19"/>
        <item x="21"/>
        <item x="1"/>
        <item x="25"/>
        <item x="9"/>
        <item t="default"/>
      </items>
    </pivotField>
    <pivotField showAll="0"/>
    <pivotField dataField="1" showAll="0"/>
    <pivotField showAll="0"/>
    <pivotField showAll="0"/>
    <pivotField showAll="0"/>
    <pivotField showAll="0"/>
    <pivotField showAll="0"/>
    <pivotField showAll="0"/>
    <pivotField showAll="0"/>
    <pivotField showAll="0"/>
  </pivotFields>
  <rowFields count="1">
    <field x="1"/>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Sum of Unit Cost"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DF9766C-30A8-43CA-9E56-0C9003936CEC}" name="PivotTable7" cacheId="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8">
  <location ref="E3:F34" firstHeaderRow="1" firstDataRow="1" firstDataCol="1"/>
  <pivotFields count="10">
    <pivotField showAll="0"/>
    <pivotField showAll="0"/>
    <pivotField axis="axisRow" showAll="0">
      <items count="31">
        <item x="26"/>
        <item x="1"/>
        <item x="2"/>
        <item x="24"/>
        <item x="29"/>
        <item x="14"/>
        <item x="5"/>
        <item x="22"/>
        <item x="23"/>
        <item x="4"/>
        <item x="7"/>
        <item x="20"/>
        <item x="15"/>
        <item x="8"/>
        <item x="27"/>
        <item x="16"/>
        <item x="11"/>
        <item x="19"/>
        <item x="12"/>
        <item x="3"/>
        <item x="25"/>
        <item x="21"/>
        <item x="10"/>
        <item x="13"/>
        <item x="17"/>
        <item x="28"/>
        <item x="0"/>
        <item x="18"/>
        <item x="9"/>
        <item x="6"/>
        <item t="default"/>
      </items>
    </pivotField>
    <pivotField dataField="1" showAll="0"/>
    <pivotField showAll="0">
      <items count="5">
        <item x="0"/>
        <item x="2"/>
        <item x="1"/>
        <item x="3"/>
        <item t="default"/>
      </items>
    </pivotField>
    <pivotField showAll="0">
      <items count="4">
        <item x="1"/>
        <item x="2"/>
        <item x="0"/>
        <item t="default"/>
      </items>
    </pivotField>
    <pivotField numFmtId="14" showAll="0">
      <items count="251">
        <item x="242"/>
        <item x="238"/>
        <item x="157"/>
        <item x="151"/>
        <item x="91"/>
        <item x="202"/>
        <item x="224"/>
        <item x="71"/>
        <item x="182"/>
        <item x="123"/>
        <item x="190"/>
        <item x="113"/>
        <item x="34"/>
        <item x="121"/>
        <item x="98"/>
        <item x="31"/>
        <item x="139"/>
        <item x="101"/>
        <item x="203"/>
        <item x="115"/>
        <item x="213"/>
        <item x="239"/>
        <item x="104"/>
        <item x="243"/>
        <item x="87"/>
        <item x="170"/>
        <item x="68"/>
        <item x="63"/>
        <item x="223"/>
        <item x="196"/>
        <item x="11"/>
        <item x="129"/>
        <item x="118"/>
        <item x="93"/>
        <item x="198"/>
        <item x="3"/>
        <item x="81"/>
        <item x="95"/>
        <item x="37"/>
        <item x="197"/>
        <item x="221"/>
        <item x="79"/>
        <item x="204"/>
        <item x="228"/>
        <item x="199"/>
        <item x="166"/>
        <item x="155"/>
        <item x="97"/>
        <item x="150"/>
        <item x="233"/>
        <item x="90"/>
        <item x="178"/>
        <item x="23"/>
        <item x="156"/>
        <item x="96"/>
        <item x="65"/>
        <item x="200"/>
        <item x="193"/>
        <item x="29"/>
        <item x="241"/>
        <item x="100"/>
        <item x="21"/>
        <item x="154"/>
        <item x="177"/>
        <item x="73"/>
        <item x="158"/>
        <item x="188"/>
        <item x="218"/>
        <item x="102"/>
        <item x="226"/>
        <item x="237"/>
        <item x="106"/>
        <item x="192"/>
        <item x="168"/>
        <item x="125"/>
        <item x="64"/>
        <item x="120"/>
        <item x="147"/>
        <item x="103"/>
        <item x="128"/>
        <item x="175"/>
        <item x="126"/>
        <item x="234"/>
        <item x="134"/>
        <item x="42"/>
        <item x="46"/>
        <item x="86"/>
        <item x="172"/>
        <item x="52"/>
        <item x="0"/>
        <item x="8"/>
        <item x="15"/>
        <item x="76"/>
        <item x="41"/>
        <item x="39"/>
        <item x="201"/>
        <item x="173"/>
        <item x="152"/>
        <item x="162"/>
        <item x="167"/>
        <item x="51"/>
        <item x="43"/>
        <item x="124"/>
        <item x="38"/>
        <item x="25"/>
        <item x="205"/>
        <item x="163"/>
        <item x="180"/>
        <item x="127"/>
        <item x="59"/>
        <item x="191"/>
        <item x="6"/>
        <item x="116"/>
        <item x="7"/>
        <item x="140"/>
        <item x="144"/>
        <item x="105"/>
        <item x="27"/>
        <item x="99"/>
        <item x="35"/>
        <item x="89"/>
        <item x="183"/>
        <item x="110"/>
        <item x="70"/>
        <item x="169"/>
        <item x="141"/>
        <item x="149"/>
        <item x="75"/>
        <item x="229"/>
        <item x="12"/>
        <item x="82"/>
        <item x="230"/>
        <item x="217"/>
        <item x="206"/>
        <item x="24"/>
        <item x="160"/>
        <item x="69"/>
        <item x="40"/>
        <item x="72"/>
        <item x="94"/>
        <item x="92"/>
        <item x="28"/>
        <item x="130"/>
        <item x="249"/>
        <item x="44"/>
        <item x="216"/>
        <item x="219"/>
        <item x="62"/>
        <item x="225"/>
        <item x="159"/>
        <item x="171"/>
        <item x="138"/>
        <item x="245"/>
        <item x="114"/>
        <item x="54"/>
        <item x="66"/>
        <item x="208"/>
        <item x="111"/>
        <item x="20"/>
        <item x="33"/>
        <item x="136"/>
        <item x="57"/>
        <item x="248"/>
        <item x="244"/>
        <item x="13"/>
        <item x="145"/>
        <item x="16"/>
        <item x="84"/>
        <item x="60"/>
        <item x="142"/>
        <item x="148"/>
        <item x="119"/>
        <item x="135"/>
        <item x="195"/>
        <item x="227"/>
        <item x="56"/>
        <item x="210"/>
        <item x="2"/>
        <item x="214"/>
        <item x="49"/>
        <item x="174"/>
        <item x="58"/>
        <item x="176"/>
        <item x="83"/>
        <item x="132"/>
        <item x="161"/>
        <item x="32"/>
        <item x="232"/>
        <item x="19"/>
        <item x="30"/>
        <item x="17"/>
        <item x="50"/>
        <item x="246"/>
        <item x="153"/>
        <item x="240"/>
        <item x="112"/>
        <item x="108"/>
        <item x="107"/>
        <item x="165"/>
        <item x="231"/>
        <item x="186"/>
        <item x="181"/>
        <item x="212"/>
        <item x="9"/>
        <item x="4"/>
        <item x="235"/>
        <item x="207"/>
        <item x="80"/>
        <item x="164"/>
        <item x="247"/>
        <item x="222"/>
        <item x="137"/>
        <item x="133"/>
        <item x="55"/>
        <item x="48"/>
        <item x="1"/>
        <item x="187"/>
        <item x="117"/>
        <item x="61"/>
        <item x="22"/>
        <item x="36"/>
        <item x="211"/>
        <item x="18"/>
        <item x="10"/>
        <item x="67"/>
        <item x="146"/>
        <item x="131"/>
        <item x="209"/>
        <item x="14"/>
        <item x="5"/>
        <item x="236"/>
        <item x="220"/>
        <item x="215"/>
        <item x="85"/>
        <item x="26"/>
        <item x="77"/>
        <item x="143"/>
        <item x="194"/>
        <item x="184"/>
        <item x="74"/>
        <item x="179"/>
        <item x="185"/>
        <item x="109"/>
        <item x="88"/>
        <item x="53"/>
        <item x="122"/>
        <item x="78"/>
        <item x="45"/>
        <item x="189"/>
        <item x="47"/>
        <item t="default"/>
      </items>
    </pivotField>
    <pivotField showAll="0"/>
    <pivotField numFmtId="14" showAll="0"/>
    <pivotField showAll="0">
      <items count="11">
        <item x="0"/>
        <item x="4"/>
        <item x="3"/>
        <item x="8"/>
        <item x="2"/>
        <item x="6"/>
        <item x="7"/>
        <item x="5"/>
        <item x="9"/>
        <item x="1"/>
        <item t="default"/>
      </items>
    </pivotField>
  </pivotFields>
  <rowFields count="1">
    <field x="2"/>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Sum of Quantity Sold"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54A063B-185B-4CA7-82EA-A9D94909A10C}" name="PivotTable6" cacheId="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location ref="A3:B14" firstHeaderRow="1" firstDataRow="1" firstDataCol="1"/>
  <pivotFields count="10">
    <pivotField showAll="0"/>
    <pivotField showAll="0"/>
    <pivotField showAll="0"/>
    <pivotField showAll="0"/>
    <pivotField showAll="0">
      <items count="5">
        <item x="0"/>
        <item x="2"/>
        <item x="1"/>
        <item x="3"/>
        <item t="default"/>
      </items>
    </pivotField>
    <pivotField showAll="0">
      <items count="4">
        <item x="1"/>
        <item x="2"/>
        <item x="0"/>
        <item t="default"/>
      </items>
    </pivotField>
    <pivotField numFmtId="14" showAll="0">
      <items count="251">
        <item x="242"/>
        <item x="238"/>
        <item x="157"/>
        <item x="151"/>
        <item x="91"/>
        <item x="202"/>
        <item x="224"/>
        <item x="71"/>
        <item x="182"/>
        <item x="123"/>
        <item x="190"/>
        <item x="113"/>
        <item x="34"/>
        <item x="121"/>
        <item x="98"/>
        <item x="31"/>
        <item x="139"/>
        <item x="101"/>
        <item x="203"/>
        <item x="115"/>
        <item x="213"/>
        <item x="239"/>
        <item x="104"/>
        <item x="243"/>
        <item x="87"/>
        <item x="170"/>
        <item x="68"/>
        <item x="63"/>
        <item x="223"/>
        <item x="196"/>
        <item x="11"/>
        <item x="129"/>
        <item x="118"/>
        <item x="93"/>
        <item x="198"/>
        <item x="3"/>
        <item x="81"/>
        <item x="95"/>
        <item x="37"/>
        <item x="197"/>
        <item x="221"/>
        <item x="79"/>
        <item x="204"/>
        <item x="228"/>
        <item x="199"/>
        <item x="166"/>
        <item x="155"/>
        <item x="97"/>
        <item x="150"/>
        <item x="233"/>
        <item x="90"/>
        <item x="178"/>
        <item x="23"/>
        <item x="156"/>
        <item x="96"/>
        <item x="65"/>
        <item x="200"/>
        <item x="193"/>
        <item x="29"/>
        <item x="241"/>
        <item x="100"/>
        <item x="21"/>
        <item x="154"/>
        <item x="177"/>
        <item x="73"/>
        <item x="158"/>
        <item x="188"/>
        <item x="218"/>
        <item x="102"/>
        <item x="226"/>
        <item x="237"/>
        <item x="106"/>
        <item x="192"/>
        <item x="168"/>
        <item x="125"/>
        <item x="64"/>
        <item x="120"/>
        <item x="147"/>
        <item x="103"/>
        <item x="128"/>
        <item x="175"/>
        <item x="126"/>
        <item x="234"/>
        <item x="134"/>
        <item x="42"/>
        <item x="46"/>
        <item x="86"/>
        <item x="172"/>
        <item x="52"/>
        <item x="0"/>
        <item x="8"/>
        <item x="15"/>
        <item x="76"/>
        <item x="41"/>
        <item x="39"/>
        <item x="201"/>
        <item x="173"/>
        <item x="152"/>
        <item x="162"/>
        <item x="167"/>
        <item x="51"/>
        <item x="43"/>
        <item x="124"/>
        <item x="38"/>
        <item x="25"/>
        <item x="205"/>
        <item x="163"/>
        <item x="180"/>
        <item x="127"/>
        <item x="59"/>
        <item x="191"/>
        <item x="6"/>
        <item x="116"/>
        <item x="7"/>
        <item x="140"/>
        <item x="144"/>
        <item x="105"/>
        <item x="27"/>
        <item x="99"/>
        <item x="35"/>
        <item x="89"/>
        <item x="183"/>
        <item x="110"/>
        <item x="70"/>
        <item x="169"/>
        <item x="141"/>
        <item x="149"/>
        <item x="75"/>
        <item x="229"/>
        <item x="12"/>
        <item x="82"/>
        <item x="230"/>
        <item x="217"/>
        <item x="206"/>
        <item x="24"/>
        <item x="160"/>
        <item x="69"/>
        <item x="40"/>
        <item x="72"/>
        <item x="94"/>
        <item x="92"/>
        <item x="28"/>
        <item x="130"/>
        <item x="249"/>
        <item x="44"/>
        <item x="216"/>
        <item x="219"/>
        <item x="62"/>
        <item x="225"/>
        <item x="159"/>
        <item x="171"/>
        <item x="138"/>
        <item x="245"/>
        <item x="114"/>
        <item x="54"/>
        <item x="66"/>
        <item x="208"/>
        <item x="111"/>
        <item x="20"/>
        <item x="33"/>
        <item x="136"/>
        <item x="57"/>
        <item x="248"/>
        <item x="244"/>
        <item x="13"/>
        <item x="145"/>
        <item x="16"/>
        <item x="84"/>
        <item x="60"/>
        <item x="142"/>
        <item x="148"/>
        <item x="119"/>
        <item x="135"/>
        <item x="195"/>
        <item x="227"/>
        <item x="56"/>
        <item x="210"/>
        <item x="2"/>
        <item x="214"/>
        <item x="49"/>
        <item x="174"/>
        <item x="58"/>
        <item x="176"/>
        <item x="83"/>
        <item x="132"/>
        <item x="161"/>
        <item x="32"/>
        <item x="232"/>
        <item x="19"/>
        <item x="30"/>
        <item x="17"/>
        <item x="50"/>
        <item x="246"/>
        <item x="153"/>
        <item x="240"/>
        <item x="112"/>
        <item x="108"/>
        <item x="107"/>
        <item x="165"/>
        <item x="231"/>
        <item x="186"/>
        <item x="181"/>
        <item x="212"/>
        <item x="9"/>
        <item x="4"/>
        <item x="235"/>
        <item x="207"/>
        <item x="80"/>
        <item x="164"/>
        <item x="247"/>
        <item x="222"/>
        <item x="137"/>
        <item x="133"/>
        <item x="55"/>
        <item x="48"/>
        <item x="1"/>
        <item x="187"/>
        <item x="117"/>
        <item x="61"/>
        <item x="22"/>
        <item x="36"/>
        <item x="211"/>
        <item x="18"/>
        <item x="10"/>
        <item x="67"/>
        <item x="146"/>
        <item x="131"/>
        <item x="209"/>
        <item x="14"/>
        <item x="5"/>
        <item x="236"/>
        <item x="220"/>
        <item x="215"/>
        <item x="85"/>
        <item x="26"/>
        <item x="77"/>
        <item x="143"/>
        <item x="194"/>
        <item x="184"/>
        <item x="74"/>
        <item x="179"/>
        <item x="185"/>
        <item x="109"/>
        <item x="88"/>
        <item x="53"/>
        <item x="122"/>
        <item x="78"/>
        <item x="45"/>
        <item x="189"/>
        <item x="47"/>
        <item t="default"/>
      </items>
    </pivotField>
    <pivotField dataField="1" showAll="0"/>
    <pivotField numFmtId="14" showAll="0"/>
    <pivotField axis="axisRow" showAll="0">
      <items count="11">
        <item x="0"/>
        <item x="4"/>
        <item x="3"/>
        <item x="8"/>
        <item x="2"/>
        <item x="6"/>
        <item x="7"/>
        <item x="5"/>
        <item x="9"/>
        <item x="1"/>
        <item t="default"/>
      </items>
    </pivotField>
  </pivotFields>
  <rowFields count="1">
    <field x="9"/>
  </rowFields>
  <rowItems count="11">
    <i>
      <x/>
    </i>
    <i>
      <x v="1"/>
    </i>
    <i>
      <x v="2"/>
    </i>
    <i>
      <x v="3"/>
    </i>
    <i>
      <x v="4"/>
    </i>
    <i>
      <x v="5"/>
    </i>
    <i>
      <x v="6"/>
    </i>
    <i>
      <x v="7"/>
    </i>
    <i>
      <x v="8"/>
    </i>
    <i>
      <x v="9"/>
    </i>
    <i t="grand">
      <x/>
    </i>
  </rowItems>
  <colItems count="1">
    <i/>
  </colItems>
  <dataFields count="1">
    <dataField name="Sum of REVENUE" fld="7" baseField="0" baseItem="0"/>
  </dataField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69D1C7F-10C1-499E-A3D0-32F7A11865DB}" name="PivotTable8" cacheId="2" applyNumberFormats="0" applyBorderFormats="0" applyFontFormats="0" applyPatternFormats="0" applyAlignmentFormats="0" applyWidthHeightFormats="1" dataCaption="Values" updatedVersion="8" minRefreshableVersion="5" showDrill="0" useAutoFormatting="1" itemPrintTitles="1" createdVersion="8" indent="0" outline="1" outlineData="1" multipleFieldFilters="0" chartFormat="8">
  <location ref="D3:E7" firstHeaderRow="1" firstDataRow="1" firstDataCol="1"/>
  <pivotFields count="10">
    <pivotField showAll="0"/>
    <pivotField showAll="0"/>
    <pivotField showAll="0"/>
    <pivotField dataField="1" showAll="0"/>
    <pivotField showAll="0">
      <items count="5">
        <item x="0"/>
        <item x="2"/>
        <item x="1"/>
        <item x="3"/>
        <item t="default"/>
      </items>
    </pivotField>
    <pivotField axis="axisRow" showAll="0">
      <items count="4">
        <item x="1"/>
        <item x="2"/>
        <item x="0"/>
        <item t="default"/>
      </items>
    </pivotField>
    <pivotField numFmtId="14" showAll="0">
      <items count="251">
        <item x="242"/>
        <item x="238"/>
        <item x="157"/>
        <item x="151"/>
        <item x="91"/>
        <item x="202"/>
        <item x="224"/>
        <item x="71"/>
        <item x="182"/>
        <item x="123"/>
        <item x="190"/>
        <item x="113"/>
        <item x="34"/>
        <item x="121"/>
        <item x="98"/>
        <item x="31"/>
        <item x="139"/>
        <item x="101"/>
        <item x="203"/>
        <item x="115"/>
        <item x="213"/>
        <item x="239"/>
        <item x="104"/>
        <item x="243"/>
        <item x="87"/>
        <item x="170"/>
        <item x="68"/>
        <item x="63"/>
        <item x="223"/>
        <item x="196"/>
        <item x="11"/>
        <item x="129"/>
        <item x="118"/>
        <item x="93"/>
        <item x="198"/>
        <item x="3"/>
        <item x="81"/>
        <item x="95"/>
        <item x="37"/>
        <item x="197"/>
        <item x="221"/>
        <item x="79"/>
        <item x="204"/>
        <item x="228"/>
        <item x="199"/>
        <item x="166"/>
        <item x="155"/>
        <item x="97"/>
        <item x="150"/>
        <item x="233"/>
        <item x="90"/>
        <item x="178"/>
        <item x="23"/>
        <item x="156"/>
        <item x="96"/>
        <item x="65"/>
        <item x="200"/>
        <item x="193"/>
        <item x="29"/>
        <item x="241"/>
        <item x="100"/>
        <item x="21"/>
        <item x="154"/>
        <item x="177"/>
        <item x="73"/>
        <item x="158"/>
        <item x="188"/>
        <item x="218"/>
        <item x="102"/>
        <item x="226"/>
        <item x="237"/>
        <item x="106"/>
        <item x="192"/>
        <item x="168"/>
        <item x="125"/>
        <item x="64"/>
        <item x="120"/>
        <item x="147"/>
        <item x="103"/>
        <item x="128"/>
        <item x="175"/>
        <item x="126"/>
        <item x="234"/>
        <item x="134"/>
        <item x="42"/>
        <item x="46"/>
        <item x="86"/>
        <item x="172"/>
        <item x="52"/>
        <item x="0"/>
        <item x="8"/>
        <item x="15"/>
        <item x="76"/>
        <item x="41"/>
        <item x="39"/>
        <item x="201"/>
        <item x="173"/>
        <item x="152"/>
        <item x="162"/>
        <item x="167"/>
        <item x="51"/>
        <item x="43"/>
        <item x="124"/>
        <item x="38"/>
        <item x="25"/>
        <item x="205"/>
        <item x="163"/>
        <item x="180"/>
        <item x="127"/>
        <item x="59"/>
        <item x="191"/>
        <item x="6"/>
        <item x="116"/>
        <item x="7"/>
        <item x="140"/>
        <item x="144"/>
        <item x="105"/>
        <item x="27"/>
        <item x="99"/>
        <item x="35"/>
        <item x="89"/>
        <item x="183"/>
        <item x="110"/>
        <item x="70"/>
        <item x="169"/>
        <item x="141"/>
        <item x="149"/>
        <item x="75"/>
        <item x="229"/>
        <item x="12"/>
        <item x="82"/>
        <item x="230"/>
        <item x="217"/>
        <item x="206"/>
        <item x="24"/>
        <item x="160"/>
        <item x="69"/>
        <item x="40"/>
        <item x="72"/>
        <item x="94"/>
        <item x="92"/>
        <item x="28"/>
        <item x="130"/>
        <item x="249"/>
        <item x="44"/>
        <item x="216"/>
        <item x="219"/>
        <item x="62"/>
        <item x="225"/>
        <item x="159"/>
        <item x="171"/>
        <item x="138"/>
        <item x="245"/>
        <item x="114"/>
        <item x="54"/>
        <item x="66"/>
        <item x="208"/>
        <item x="111"/>
        <item x="20"/>
        <item x="33"/>
        <item x="136"/>
        <item x="57"/>
        <item x="248"/>
        <item x="244"/>
        <item x="13"/>
        <item x="145"/>
        <item x="16"/>
        <item x="84"/>
        <item x="60"/>
        <item x="142"/>
        <item x="148"/>
        <item x="119"/>
        <item x="135"/>
        <item x="195"/>
        <item x="227"/>
        <item x="56"/>
        <item x="210"/>
        <item x="2"/>
        <item x="214"/>
        <item x="49"/>
        <item x="174"/>
        <item x="58"/>
        <item x="176"/>
        <item x="83"/>
        <item x="132"/>
        <item x="161"/>
        <item x="32"/>
        <item x="232"/>
        <item x="19"/>
        <item x="30"/>
        <item x="17"/>
        <item x="50"/>
        <item x="246"/>
        <item x="153"/>
        <item x="240"/>
        <item x="112"/>
        <item x="108"/>
        <item x="107"/>
        <item x="165"/>
        <item x="231"/>
        <item x="186"/>
        <item x="181"/>
        <item x="212"/>
        <item x="9"/>
        <item x="4"/>
        <item x="235"/>
        <item x="207"/>
        <item x="80"/>
        <item x="164"/>
        <item x="247"/>
        <item x="222"/>
        <item x="137"/>
        <item x="133"/>
        <item x="55"/>
        <item x="48"/>
        <item x="1"/>
        <item x="187"/>
        <item x="117"/>
        <item x="61"/>
        <item x="22"/>
        <item x="36"/>
        <item x="211"/>
        <item x="18"/>
        <item x="10"/>
        <item x="67"/>
        <item x="146"/>
        <item x="131"/>
        <item x="209"/>
        <item x="14"/>
        <item x="5"/>
        <item x="236"/>
        <item x="220"/>
        <item x="215"/>
        <item x="85"/>
        <item x="26"/>
        <item x="77"/>
        <item x="143"/>
        <item x="194"/>
        <item x="184"/>
        <item x="74"/>
        <item x="179"/>
        <item x="185"/>
        <item x="109"/>
        <item x="88"/>
        <item x="53"/>
        <item x="122"/>
        <item x="78"/>
        <item x="45"/>
        <item x="189"/>
        <item x="47"/>
        <item t="default"/>
      </items>
    </pivotField>
    <pivotField showAll="0"/>
    <pivotField numFmtId="14" showAll="0"/>
    <pivotField showAll="0"/>
  </pivotFields>
  <rowFields count="1">
    <field x="5"/>
  </rowFields>
  <rowItems count="4">
    <i>
      <x/>
    </i>
    <i>
      <x v="1"/>
    </i>
    <i>
      <x v="2"/>
    </i>
    <i t="grand">
      <x/>
    </i>
  </rowItems>
  <colItems count="1">
    <i/>
  </colItems>
  <dataFields count="1">
    <dataField name="Sum of Quantity Sold" fld="3" baseField="0" baseItem="0"/>
  </dataFields>
  <chartFormats count="5">
    <chartFormat chart="0"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71FECC3-87E4-4E43-8F30-80725356E7F3}" name="PivotTable4" cacheId="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2">
  <location ref="A3:B7" firstHeaderRow="1" firstDataRow="1" firstDataCol="1"/>
  <pivotFields count="10">
    <pivotField showAll="0"/>
    <pivotField showAll="0"/>
    <pivotField showAll="0"/>
    <pivotField showAll="0"/>
    <pivotField showAll="0">
      <items count="5">
        <item x="0"/>
        <item x="2"/>
        <item x="1"/>
        <item x="3"/>
        <item t="default"/>
      </items>
    </pivotField>
    <pivotField axis="axisRow" showAll="0" sortType="ascending">
      <items count="4">
        <item x="1"/>
        <item x="2"/>
        <item x="0"/>
        <item t="default"/>
      </items>
      <autoSortScope>
        <pivotArea dataOnly="0" outline="0" fieldPosition="0">
          <references count="1">
            <reference field="4294967294" count="1" selected="0">
              <x v="0"/>
            </reference>
          </references>
        </pivotArea>
      </autoSortScope>
    </pivotField>
    <pivotField numFmtId="14" showAll="0">
      <items count="251">
        <item x="242"/>
        <item x="238"/>
        <item x="157"/>
        <item x="151"/>
        <item x="91"/>
        <item x="202"/>
        <item x="224"/>
        <item x="71"/>
        <item x="182"/>
        <item x="123"/>
        <item x="190"/>
        <item x="113"/>
        <item x="34"/>
        <item x="121"/>
        <item x="98"/>
        <item x="31"/>
        <item x="139"/>
        <item x="101"/>
        <item x="203"/>
        <item x="115"/>
        <item x="213"/>
        <item x="239"/>
        <item x="104"/>
        <item x="243"/>
        <item x="87"/>
        <item x="170"/>
        <item x="68"/>
        <item x="63"/>
        <item x="223"/>
        <item x="196"/>
        <item x="11"/>
        <item x="129"/>
        <item x="118"/>
        <item x="93"/>
        <item x="198"/>
        <item x="3"/>
        <item x="81"/>
        <item x="95"/>
        <item x="37"/>
        <item x="197"/>
        <item x="221"/>
        <item x="79"/>
        <item x="204"/>
        <item x="228"/>
        <item x="199"/>
        <item x="166"/>
        <item x="155"/>
        <item x="97"/>
        <item x="150"/>
        <item x="233"/>
        <item x="90"/>
        <item x="178"/>
        <item x="23"/>
        <item x="156"/>
        <item x="96"/>
        <item x="65"/>
        <item x="200"/>
        <item x="193"/>
        <item x="29"/>
        <item x="241"/>
        <item x="100"/>
        <item x="21"/>
        <item x="154"/>
        <item x="177"/>
        <item x="73"/>
        <item x="158"/>
        <item x="188"/>
        <item x="218"/>
        <item x="102"/>
        <item x="226"/>
        <item x="237"/>
        <item x="106"/>
        <item x="192"/>
        <item x="168"/>
        <item x="125"/>
        <item x="64"/>
        <item x="120"/>
        <item x="147"/>
        <item x="103"/>
        <item x="128"/>
        <item x="175"/>
        <item x="126"/>
        <item x="234"/>
        <item x="134"/>
        <item x="42"/>
        <item x="46"/>
        <item x="86"/>
        <item x="172"/>
        <item x="52"/>
        <item x="0"/>
        <item x="8"/>
        <item x="15"/>
        <item x="76"/>
        <item x="41"/>
        <item x="39"/>
        <item x="201"/>
        <item x="173"/>
        <item x="152"/>
        <item x="162"/>
        <item x="167"/>
        <item x="51"/>
        <item x="43"/>
        <item x="124"/>
        <item x="38"/>
        <item x="25"/>
        <item x="205"/>
        <item x="163"/>
        <item x="180"/>
        <item x="127"/>
        <item x="59"/>
        <item x="191"/>
        <item x="6"/>
        <item x="116"/>
        <item x="7"/>
        <item x="140"/>
        <item x="144"/>
        <item x="105"/>
        <item x="27"/>
        <item x="99"/>
        <item x="35"/>
        <item x="89"/>
        <item x="183"/>
        <item x="110"/>
        <item x="70"/>
        <item x="169"/>
        <item x="141"/>
        <item x="149"/>
        <item x="75"/>
        <item x="229"/>
        <item x="12"/>
        <item x="82"/>
        <item x="230"/>
        <item x="217"/>
        <item x="206"/>
        <item x="24"/>
        <item x="160"/>
        <item x="69"/>
        <item x="40"/>
        <item x="72"/>
        <item x="94"/>
        <item x="92"/>
        <item x="28"/>
        <item x="130"/>
        <item x="249"/>
        <item x="44"/>
        <item x="216"/>
        <item x="219"/>
        <item x="62"/>
        <item x="225"/>
        <item x="159"/>
        <item x="171"/>
        <item x="138"/>
        <item x="245"/>
        <item x="114"/>
        <item x="54"/>
        <item x="66"/>
        <item x="208"/>
        <item x="111"/>
        <item x="20"/>
        <item x="33"/>
        <item x="136"/>
        <item x="57"/>
        <item x="248"/>
        <item x="244"/>
        <item x="13"/>
        <item x="145"/>
        <item x="16"/>
        <item x="84"/>
        <item x="60"/>
        <item x="142"/>
        <item x="148"/>
        <item x="119"/>
        <item x="135"/>
        <item x="195"/>
        <item x="227"/>
        <item x="56"/>
        <item x="210"/>
        <item x="2"/>
        <item x="214"/>
        <item x="49"/>
        <item x="174"/>
        <item x="58"/>
        <item x="176"/>
        <item x="83"/>
        <item x="132"/>
        <item x="161"/>
        <item x="32"/>
        <item x="232"/>
        <item x="19"/>
        <item x="30"/>
        <item x="17"/>
        <item x="50"/>
        <item x="246"/>
        <item x="153"/>
        <item x="240"/>
        <item x="112"/>
        <item x="108"/>
        <item x="107"/>
        <item x="165"/>
        <item x="231"/>
        <item x="186"/>
        <item x="181"/>
        <item x="212"/>
        <item x="9"/>
        <item x="4"/>
        <item x="235"/>
        <item x="207"/>
        <item x="80"/>
        <item x="164"/>
        <item x="247"/>
        <item x="222"/>
        <item x="137"/>
        <item x="133"/>
        <item x="55"/>
        <item x="48"/>
        <item x="1"/>
        <item x="187"/>
        <item x="117"/>
        <item x="61"/>
        <item x="22"/>
        <item x="36"/>
        <item x="211"/>
        <item x="18"/>
        <item x="10"/>
        <item x="67"/>
        <item x="146"/>
        <item x="131"/>
        <item x="209"/>
        <item x="14"/>
        <item x="5"/>
        <item x="236"/>
        <item x="220"/>
        <item x="215"/>
        <item x="85"/>
        <item x="26"/>
        <item x="77"/>
        <item x="143"/>
        <item x="194"/>
        <item x="184"/>
        <item x="74"/>
        <item x="179"/>
        <item x="185"/>
        <item x="109"/>
        <item x="88"/>
        <item x="53"/>
        <item x="122"/>
        <item x="78"/>
        <item x="45"/>
        <item x="189"/>
        <item x="47"/>
        <item t="default"/>
      </items>
    </pivotField>
    <pivotField dataField="1" showAll="0"/>
    <pivotField numFmtId="14" showAll="0"/>
    <pivotField showAll="0"/>
  </pivotFields>
  <rowFields count="1">
    <field x="5"/>
  </rowFields>
  <rowItems count="4">
    <i>
      <x/>
    </i>
    <i>
      <x v="2"/>
    </i>
    <i>
      <x v="1"/>
    </i>
    <i t="grand">
      <x/>
    </i>
  </rowItems>
  <colItems count="1">
    <i/>
  </colItems>
  <dataFields count="1">
    <dataField name="Sum of REVENUE" fld="7" baseField="0" baseItem="0"/>
  </dataFields>
  <chartFormats count="1">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16D5B96D-70AE-473F-B103-5B1DED0AF773}" autoFormatId="16" applyNumberFormats="0" applyBorderFormats="0" applyFontFormats="0" applyPatternFormats="0" applyAlignmentFormats="0" applyWidthHeightFormats="0">
  <queryTableRefresh nextId="13" unboundColumnsRight="4">
    <queryTableFields count="10">
      <queryTableField id="1" name="Transaction ID" tableColumnId="1"/>
      <queryTableField id="2" name="Date" tableColumnId="2"/>
      <queryTableField id="3" name="Product ID" tableColumnId="3"/>
      <queryTableField id="4" name="Quantity Sold" tableColumnId="4"/>
      <queryTableField id="5" name="Region" tableColumnId="5"/>
      <queryTableField id="6" name="Sales Channel" tableColumnId="6"/>
      <queryTableField id="8" dataBound="0" tableColumnId="8"/>
      <queryTableField id="9" dataBound="0" tableColumnId="9"/>
      <queryTableField id="11" dataBound="0" tableColumnId="11"/>
      <queryTableField id="12" dataBound="0" tableColumnId="12"/>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AEE134A5-3074-435F-A3C2-C9A87940BB92}" autoFormatId="16" applyNumberFormats="0" applyBorderFormats="0" applyFontFormats="0" applyPatternFormats="0" applyAlignmentFormats="0" applyWidthHeightFormats="0">
  <queryTableRefresh nextId="13" unboundColumnsRight="5">
    <queryTableFields count="12">
      <queryTableField id="1" name="Product ID" tableColumnId="1"/>
      <queryTableField id="2" name="Product Name" tableColumnId="2"/>
      <queryTableField id="3" name="Category" tableColumnId="3"/>
      <queryTableField id="4" name="Unit Cost" tableColumnId="4"/>
      <queryTableField id="5" name="Selling Price" tableColumnId="5"/>
      <queryTableField id="6" name="Safety Stock Level" tableColumnId="6"/>
      <queryTableField id="7" name="Starting Stock" tableColumnId="7"/>
      <queryTableField id="8" dataBound="0" tableColumnId="8"/>
      <queryTableField id="9" dataBound="0" tableColumnId="9"/>
      <queryTableField id="10" dataBound="0" tableColumnId="10"/>
      <queryTableField id="11" dataBound="0" tableColumnId="11"/>
      <queryTableField id="12" dataBound="0" tableColumnId="1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857ADD1B-40F2-422B-8F52-7C98C4187697}" sourceName="Region">
  <pivotTables>
    <pivotTable tabId="15" name="PivotTable6"/>
    <pivotTable tabId="15" name="PivotTable7"/>
    <pivotTable tabId="13" name="PivotTable4"/>
    <pivotTable tabId="13" name="PivotTable8"/>
  </pivotTables>
  <data>
    <tabular pivotCacheId="1054808178">
      <items count="4">
        <i x="0" s="1"/>
        <i x="2"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49EDAE07-BFE2-4FB8-8696-44264EC4A54B}" cache="Slicer_Region" caption="Region" style="SlicerStyleLight4"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B53845D-9981-4459-AD06-4982239AB008}" name="cleaned_sales_data_" displayName="cleaned_sales_data_" ref="A1:J851" tableType="queryTable" totalsRowShown="0">
  <autoFilter ref="A1:J851" xr:uid="{8B53845D-9981-4459-AD06-4982239AB008}"/>
  <tableColumns count="10">
    <tableColumn id="1" xr3:uid="{148E5665-FCC9-4E44-8446-C89755974973}" uniqueName="1" name="Transaction ID" queryTableFieldId="1" dataDxfId="41"/>
    <tableColumn id="2" xr3:uid="{451BEA32-AE5B-4EB0-98B3-41E72FC605A0}" uniqueName="2" name="Date" queryTableFieldId="2" dataDxfId="40"/>
    <tableColumn id="3" xr3:uid="{157F481B-3BB7-4B7B-A618-742DBB0C9BD4}" uniqueName="3" name="Product ID" queryTableFieldId="3" dataDxfId="39"/>
    <tableColumn id="4" xr3:uid="{F2917745-A76D-43DD-BFD6-6D8F9AF104F5}" uniqueName="4" name="Quantity Sold" queryTableFieldId="4" dataDxfId="38"/>
    <tableColumn id="5" xr3:uid="{00F9D371-9920-44BA-B707-34401BFC916B}" uniqueName="5" name="Region" queryTableFieldId="5" dataDxfId="37"/>
    <tableColumn id="6" xr3:uid="{1BDDEA89-625B-4298-A994-A70ACE4F2550}" uniqueName="6" name="Sales Channel" queryTableFieldId="6" dataDxfId="36"/>
    <tableColumn id="8" xr3:uid="{3A84F98E-DEE4-4892-9E11-B8FF8F479A26}" uniqueName="8" name="True_Date" queryTableFieldId="8" dataDxfId="35">
      <calculatedColumnFormula>IF(ISNUMBER(SEARCH("-", B2)), DATEVALUE(B2), DATE(RIGHT(B2,4), LEFT(B2, FIND("/", B2)-1), MID(B2, FIND("/", B2)+1, FIND("/", B2, FIND("/", B2)+1) - FIND("/", B2) - 1)))</calculatedColumnFormula>
    </tableColumn>
    <tableColumn id="9" xr3:uid="{D3B88E22-5EA5-49AA-BCC3-58DF2718DDDC}" uniqueName="9" name="REVENUE" queryTableFieldId="9" dataDxfId="34">
      <calculatedColumnFormula array="1">D2*_xlfn.XLOOKUP(C2,Clean_Inventry_Master!A:A,Clean_Inventry_Master!E:E,NOT FOUND,0)</calculatedColumnFormula>
    </tableColumn>
    <tableColumn id="11" xr3:uid="{2CAE7AF3-2A04-41BA-A3AE-9BE366811782}" uniqueName="11" name="Month" queryTableFieldId="11" dataDxfId="33">
      <calculatedColumnFormula>DATE(YEAR(G2),MONTH(G2),1)</calculatedColumnFormula>
    </tableColumn>
    <tableColumn id="12" xr3:uid="{67F128D9-1652-438C-922C-2D183A5D6CCB}" uniqueName="12" name="Month field" queryTableFieldId="12" dataDxfId="32">
      <calculatedColumnFormula>TEXT(I2,"mmm yyyy")</calculatedColumnFormula>
    </tableColumn>
  </tableColumns>
  <tableStyleInfo name="TableStyleLight16"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4660AF9E-9CF6-4F11-BB92-6133A8312107}" name="Inventry_Master_1" displayName="Inventry_Master_1" ref="A1:L31" tableType="queryTable" totalsRowShown="0">
  <autoFilter ref="A1:L31" xr:uid="{4660AF9E-9CF6-4F11-BB92-6133A8312107}"/>
  <tableColumns count="12">
    <tableColumn id="1" xr3:uid="{FD036234-B4FE-4F6D-A299-500E55CC0E4D}" uniqueName="1" name="Product ID" queryTableFieldId="1" dataDxfId="31"/>
    <tableColumn id="2" xr3:uid="{E4F9D73A-8896-4403-9461-213C5B8FA752}" uniqueName="2" name="Product Name" queryTableFieldId="2" dataDxfId="30"/>
    <tableColumn id="3" xr3:uid="{0F1B0C6D-8C2B-4304-84EB-0D084F3D74E9}" uniqueName="3" name="Category" queryTableFieldId="3" dataDxfId="29"/>
    <tableColumn id="4" xr3:uid="{CE99D30B-DDDC-44F0-8DB7-56FC762B7EEE}" uniqueName="4" name="Unit Cost" queryTableFieldId="4"/>
    <tableColumn id="5" xr3:uid="{BDB0001B-E03B-434A-9059-ECB3CAF85A1F}" uniqueName="5" name="Selling Price" queryTableFieldId="5"/>
    <tableColumn id="6" xr3:uid="{D413FFE4-C53B-4B78-95A3-2BE0D27BE784}" uniqueName="6" name="Safety Stock Level" queryTableFieldId="6"/>
    <tableColumn id="7" xr3:uid="{58038BDB-477F-4892-A334-D7B627C2C200}" uniqueName="7" name="Starting Stock" queryTableFieldId="7"/>
    <tableColumn id="8" xr3:uid="{6B936621-0C34-4F0F-B39B-779358EF53A6}" uniqueName="8" name="Total Unit Sold" queryTableFieldId="8" dataDxfId="28">
      <calculatedColumnFormula>SUMIFS(Clean_Sales_Data!D:D,Clean_Sales_Data!C:C,Clean_Inventry_Master!A2)</calculatedColumnFormula>
    </tableColumn>
    <tableColumn id="9" xr3:uid="{7E8FFF2B-EF07-4A70-8293-A6F47229C69B}" uniqueName="9" name="Ending Inventroy" queryTableFieldId="9" dataDxfId="27">
      <calculatedColumnFormula>G2-H2</calculatedColumnFormula>
    </tableColumn>
    <tableColumn id="10" xr3:uid="{29FECF81-3975-46DB-A30A-C8DCD00166C5}" uniqueName="10" name="Gross Revenue" queryTableFieldId="10" dataDxfId="26">
      <calculatedColumnFormula>H2*E2</calculatedColumnFormula>
    </tableColumn>
    <tableColumn id="11" xr3:uid="{8BB84002-DCEF-49DF-A23E-8089206C3103}" uniqueName="11" name="Inventry Status" queryTableFieldId="11" dataDxfId="25">
      <calculatedColumnFormula array="1">_xlfn.IFS(I2&lt;0,"STOCK CRISIS",I2&lt;=F2,"REORDER",I2&gt;F2,"STABLE")</calculatedColumnFormula>
    </tableColumn>
    <tableColumn id="12" xr3:uid="{0F2A0CFF-31A8-4EF4-AD72-E37072D200DE}" uniqueName="12" name="Profit" queryTableFieldId="12" dataDxfId="24">
      <calculatedColumnFormula>J2-(H2*D2)</calculatedColumnFormula>
    </tableColumn>
  </tableColumns>
  <tableStyleInfo name="TableStyleLight16"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D4A55FC-49FE-4820-80BF-55CA9A4D06AB}" name="Inventry_Master" displayName="Inventry_Master" ref="A1:G31" totalsRowShown="0" headerRowDxfId="23" headerRowBorderDxfId="22" tableBorderDxfId="21">
  <autoFilter ref="A1:G31" xr:uid="{CD4A55FC-49FE-4820-80BF-55CA9A4D06AB}"/>
  <tableColumns count="7">
    <tableColumn id="1" xr3:uid="{CA0C4043-3E85-4EEB-B89F-7E00BA446F08}" name="Product ID"/>
    <tableColumn id="2" xr3:uid="{86A17C79-608E-460C-A4C1-FF7BEF130A46}" name="Product Name"/>
    <tableColumn id="3" xr3:uid="{7D7BAE84-A561-4194-AE5A-C6E1241940BE}" name="Category"/>
    <tableColumn id="4" xr3:uid="{0C9E6B6E-80CE-4568-82FF-FA7CFF894B00}" name="Unit Cost"/>
    <tableColumn id="5" xr3:uid="{8EFC169B-7CB5-4264-8E24-9361DCE55089}" name="Selling Price"/>
    <tableColumn id="6" xr3:uid="{2CE66C3F-C426-4891-AF73-A14B76FBCED1}" name="Safety Stock Level"/>
    <tableColumn id="7" xr3:uid="{19C63ED7-1D77-4414-AB56-3C12F079AB23}" name="Starting Stock"/>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DCA3E98-F3E3-4EE8-9AA1-05B180B0FA32}" name="cleaned_sales_data" displayName="cleaned_sales_data" ref="A1:F851" totalsRowShown="0" headerRowDxfId="20" headerRowBorderDxfId="19" tableBorderDxfId="18">
  <autoFilter ref="A1:F851" xr:uid="{3DCA3E98-F3E3-4EE8-9AA1-05B180B0FA32}"/>
  <tableColumns count="6">
    <tableColumn id="1" xr3:uid="{0E49EA6E-1409-46BC-8243-1C1D61ED405A}" name="Transaction ID"/>
    <tableColumn id="2" xr3:uid="{A35F8A8B-2747-49A9-8ECE-650F7891502C}" name="Date"/>
    <tableColumn id="3" xr3:uid="{03DA26A1-83D5-47B9-AA3B-15FC63025504}" name="Product ID"/>
    <tableColumn id="4" xr3:uid="{01C511FF-CCDB-4B34-97AE-9CFC7BF6CF78}" name="Quantity Sold"/>
    <tableColumn id="5" xr3:uid="{4E24F4F3-DEC5-46EA-BAF1-C5252779C3C6}" name="Region"/>
    <tableColumn id="6" xr3:uid="{3C2CBAA6-3850-4620-B1D3-A34312FFCD04}" name="Sales Channel"/>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True_Date" xr10:uid="{A4775A61-89F9-41D4-A4E2-233616D0E4BA}" sourceName="True_Date">
  <pivotTables>
    <pivotTable tabId="13" name="PivotTable4"/>
    <pivotTable tabId="15" name="PivotTable6"/>
    <pivotTable tabId="15" name="PivotTable7"/>
    <pivotTable tabId="13" name="PivotTable8"/>
  </pivotTables>
  <state minimalRefreshVersion="6" lastRefreshVersion="6" pivotCacheId="1054808178" filterType="unknown">
    <bounds startDate="2026-01-01T00:00:00" endDate="202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True_Date" xr10:uid="{AB6E7086-4A42-4630-B764-55C0AFDC229C}" cache="NativeTimeline_True_Date" caption="True_Date" level="2" selectionLevel="2" scrollPosition="2026-05-19T00:00:00" style="TimeSlicerStyleLight4"/>
</timelines>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 Id="rId4" Type="http://schemas.microsoft.com/office/2011/relationships/timeline" Target="../timelines/timelin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5.xml"/><Relationship Id="rId2" Type="http://schemas.openxmlformats.org/officeDocument/2006/relationships/pivotTable" Target="../pivotTables/pivotTable4.xml"/><Relationship Id="rId1" Type="http://schemas.openxmlformats.org/officeDocument/2006/relationships/pivotTable" Target="../pivotTables/pivotTable3.xml"/><Relationship Id="rId6" Type="http://schemas.openxmlformats.org/officeDocument/2006/relationships/pivotTable" Target="../pivotTables/pivotTable8.xml"/><Relationship Id="rId5" Type="http://schemas.openxmlformats.org/officeDocument/2006/relationships/pivotTable" Target="../pivotTables/pivotTable7.xml"/><Relationship Id="rId4"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openxmlformats.org/officeDocument/2006/relationships/pivotTable" Target="../pivotTables/pivotTable10.xml"/><Relationship Id="rId1"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D15651-5632-4D07-9E72-480392115BBF}">
  <dimension ref="G1:W30"/>
  <sheetViews>
    <sheetView showGridLines="0" tabSelected="1" zoomScale="90" zoomScaleNormal="90" workbookViewId="0">
      <selection activeCell="X6" sqref="X6"/>
    </sheetView>
  </sheetViews>
  <sheetFormatPr defaultRowHeight="14.4" x14ac:dyDescent="0.3"/>
  <cols>
    <col min="1" max="19" width="8.88671875" style="8"/>
    <col min="20" max="20" width="18.33203125" style="8" bestFit="1" customWidth="1"/>
    <col min="21" max="21" width="11.33203125" style="8" bestFit="1" customWidth="1"/>
    <col min="22" max="22" width="12.109375" style="8" bestFit="1" customWidth="1"/>
    <col min="23" max="23" width="14.109375" style="8" bestFit="1" customWidth="1"/>
    <col min="24" max="16384" width="8.88671875" style="8"/>
  </cols>
  <sheetData>
    <row r="1" spans="7:23" s="8" customFormat="1" x14ac:dyDescent="0.3">
      <c r="T1" s="8" t="s">
        <v>1329</v>
      </c>
      <c r="U1" s="8" t="s">
        <v>2</v>
      </c>
    </row>
    <row r="2" spans="7:23" s="8" customFormat="1" x14ac:dyDescent="0.3">
      <c r="G2" s="8" t="s">
        <v>1347</v>
      </c>
      <c r="T2" s="8" t="s">
        <v>1323</v>
      </c>
      <c r="U2" s="8" t="s">
        <v>9</v>
      </c>
      <c r="V2" s="8" t="s">
        <v>51</v>
      </c>
      <c r="W2" s="8" t="s">
        <v>30</v>
      </c>
    </row>
    <row r="3" spans="7:23" s="8" customFormat="1" x14ac:dyDescent="0.3">
      <c r="T3" s="8" t="s">
        <v>1326</v>
      </c>
      <c r="U3" s="9">
        <v>3</v>
      </c>
      <c r="V3" s="9">
        <v>1</v>
      </c>
      <c r="W3" s="9"/>
    </row>
    <row r="4" spans="7:23" s="8" customFormat="1" x14ac:dyDescent="0.3">
      <c r="T4" s="8" t="s">
        <v>1327</v>
      </c>
      <c r="U4" s="9">
        <v>1</v>
      </c>
      <c r="V4" s="9">
        <v>3</v>
      </c>
      <c r="W4" s="9">
        <v>3</v>
      </c>
    </row>
    <row r="5" spans="7:23" s="8" customFormat="1" x14ac:dyDescent="0.3">
      <c r="T5" s="8" t="s">
        <v>1328</v>
      </c>
      <c r="U5" s="9">
        <v>6</v>
      </c>
      <c r="V5" s="9">
        <v>6</v>
      </c>
      <c r="W5" s="9">
        <v>7</v>
      </c>
    </row>
    <row r="6" spans="7:23" s="8" customFormat="1" x14ac:dyDescent="0.3"/>
    <row r="7" spans="7:23" s="8" customFormat="1" x14ac:dyDescent="0.3"/>
    <row r="8" spans="7:23" s="8" customFormat="1" x14ac:dyDescent="0.3"/>
    <row r="9" spans="7:23" s="8" customFormat="1" x14ac:dyDescent="0.3"/>
    <row r="10" spans="7:23" s="8" customFormat="1" x14ac:dyDescent="0.3"/>
    <row r="30" s="8" customFormat="1" x14ac:dyDescent="0.3"/>
  </sheetData>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76390D-3254-4779-BA24-E81FB6134D3F}">
  <dimension ref="A1:J853"/>
  <sheetViews>
    <sheetView workbookViewId="0">
      <selection activeCell="M8" sqref="M8"/>
    </sheetView>
  </sheetViews>
  <sheetFormatPr defaultRowHeight="14.4" x14ac:dyDescent="0.3"/>
  <cols>
    <col min="1" max="1" width="15.33203125" bestFit="1" customWidth="1"/>
    <col min="2" max="2" width="10.5546875" style="2" hidden="1" customWidth="1"/>
    <col min="3" max="3" width="12.109375" bestFit="1" customWidth="1"/>
    <col min="4" max="4" width="14.6640625" style="5" bestFit="1" customWidth="1"/>
    <col min="5" max="5" width="12.88671875" bestFit="1" customWidth="1"/>
    <col min="6" max="6" width="14.77734375" bestFit="1" customWidth="1"/>
    <col min="7" max="7" width="11.88671875" style="2" bestFit="1" customWidth="1"/>
    <col min="8" max="8" width="11.21875" bestFit="1" customWidth="1"/>
    <col min="9" max="9" width="10.33203125" style="2" bestFit="1" customWidth="1"/>
    <col min="10" max="10" width="13.109375" bestFit="1" customWidth="1"/>
    <col min="13" max="13" width="11.88671875" bestFit="1" customWidth="1"/>
  </cols>
  <sheetData>
    <row r="1" spans="1:10" x14ac:dyDescent="0.3">
      <c r="A1" t="s">
        <v>70</v>
      </c>
      <c r="B1" s="2" t="s">
        <v>71</v>
      </c>
      <c r="C1" t="s">
        <v>0</v>
      </c>
      <c r="D1" s="5" t="s">
        <v>72</v>
      </c>
      <c r="E1" t="s">
        <v>73</v>
      </c>
      <c r="F1" t="s">
        <v>74</v>
      </c>
      <c r="G1" s="2" t="s">
        <v>1309</v>
      </c>
      <c r="H1" t="s">
        <v>1331</v>
      </c>
      <c r="I1" s="2" t="s">
        <v>1333</v>
      </c>
      <c r="J1" t="s">
        <v>1334</v>
      </c>
    </row>
    <row r="2" spans="1:10" x14ac:dyDescent="0.3">
      <c r="A2" t="s">
        <v>75</v>
      </c>
      <c r="B2" t="s">
        <v>76</v>
      </c>
      <c r="C2" t="s">
        <v>62</v>
      </c>
      <c r="D2" s="5">
        <v>14</v>
      </c>
      <c r="E2" t="s">
        <v>77</v>
      </c>
      <c r="F2" t="s">
        <v>78</v>
      </c>
      <c r="G2" s="2">
        <f t="shared" ref="G2:G65" si="0">IF(ISNUMBER(SEARCH("-", B2)), DATEVALUE(B2), DATE(RIGHT(B2,4), LEFT(B2, FIND("/", B2)-1), MID(B2, FIND("/", B2)+1, FIND("/", B2, FIND("/", B2)+1) - FIND("/", B2) - 1)))</f>
        <v>46125</v>
      </c>
      <c r="H2" cm="1">
        <f t="array" ref="H2">D2*_xlfn.XLOOKUP(C2,Clean_Inventry_Master!A:A,Clean_Inventry_Master!E:E,NOT FOUND,0)</f>
        <v>385</v>
      </c>
      <c r="I2" s="2">
        <f t="shared" ref="I2:I65" si="1">DATE(YEAR(G2),MONTH(G2),1)</f>
        <v>46113</v>
      </c>
      <c r="J2" t="str">
        <f t="shared" ref="J2:J65" si="2">TEXT(I2,"mmm yyyy")</f>
        <v>Apr 2026</v>
      </c>
    </row>
    <row r="3" spans="1:10" x14ac:dyDescent="0.3">
      <c r="A3" t="s">
        <v>79</v>
      </c>
      <c r="B3" t="s">
        <v>80</v>
      </c>
      <c r="C3" t="s">
        <v>28</v>
      </c>
      <c r="D3" s="5">
        <v>10</v>
      </c>
      <c r="E3" t="s">
        <v>82</v>
      </c>
      <c r="F3" t="s">
        <v>83</v>
      </c>
      <c r="G3" s="2">
        <f t="shared" si="0"/>
        <v>46266</v>
      </c>
      <c r="H3" cm="1">
        <f t="array" ref="H3">D3*_xlfn.XLOOKUP(C3,Clean_Inventry_Master!A:A,Clean_Inventry_Master!E:E,NOT FOUND,0)</f>
        <v>1800</v>
      </c>
      <c r="I3" s="2">
        <f t="shared" si="1"/>
        <v>46266</v>
      </c>
      <c r="J3" t="str">
        <f t="shared" si="2"/>
        <v>Sep 2026</v>
      </c>
    </row>
    <row r="4" spans="1:10" x14ac:dyDescent="0.3">
      <c r="A4" t="s">
        <v>84</v>
      </c>
      <c r="B4" t="s">
        <v>85</v>
      </c>
      <c r="C4" t="s">
        <v>10</v>
      </c>
      <c r="D4" s="5">
        <v>5</v>
      </c>
      <c r="E4" t="s">
        <v>1308</v>
      </c>
      <c r="F4" t="s">
        <v>78</v>
      </c>
      <c r="G4" s="2">
        <f t="shared" si="0"/>
        <v>46224</v>
      </c>
      <c r="H4" cm="1">
        <f t="array" ref="H4">D4*_xlfn.XLOOKUP(C4,Clean_Inventry_Master!A:A,Clean_Inventry_Master!E:E,NOT FOUND,0)</f>
        <v>2495</v>
      </c>
      <c r="I4" s="2">
        <f t="shared" si="1"/>
        <v>46204</v>
      </c>
      <c r="J4" t="str">
        <f t="shared" si="2"/>
        <v>Jul 2026</v>
      </c>
    </row>
    <row r="5" spans="1:10" x14ac:dyDescent="0.3">
      <c r="A5" t="s">
        <v>87</v>
      </c>
      <c r="B5" t="s">
        <v>88</v>
      </c>
      <c r="C5" t="s">
        <v>28</v>
      </c>
      <c r="D5" s="5">
        <v>13</v>
      </c>
      <c r="E5" t="s">
        <v>77</v>
      </c>
      <c r="F5" t="s">
        <v>78</v>
      </c>
      <c r="G5" s="2">
        <f t="shared" si="0"/>
        <v>46063</v>
      </c>
      <c r="H5" cm="1">
        <f t="array" ref="H5">D5*_xlfn.XLOOKUP(C5,Clean_Inventry_Master!A:A,Clean_Inventry_Master!E:E,NOT FOUND,0)</f>
        <v>2340</v>
      </c>
      <c r="I5" s="2">
        <f t="shared" si="1"/>
        <v>46054</v>
      </c>
      <c r="J5" t="str">
        <f t="shared" si="2"/>
        <v>Feb 2026</v>
      </c>
    </row>
    <row r="6" spans="1:10" x14ac:dyDescent="0.3">
      <c r="A6" t="s">
        <v>89</v>
      </c>
      <c r="B6" t="s">
        <v>90</v>
      </c>
      <c r="C6" t="s">
        <v>43</v>
      </c>
      <c r="D6" s="5">
        <v>4</v>
      </c>
      <c r="E6" t="s">
        <v>91</v>
      </c>
      <c r="F6" t="s">
        <v>92</v>
      </c>
      <c r="G6" s="2">
        <f t="shared" si="0"/>
        <v>46253</v>
      </c>
      <c r="H6" cm="1">
        <f t="array" ref="H6">D6*_xlfn.XLOOKUP(C6,Clean_Inventry_Master!A:A,Clean_Inventry_Master!E:E,NOT FOUND,0)</f>
        <v>34</v>
      </c>
      <c r="I6" s="2">
        <f t="shared" si="1"/>
        <v>46235</v>
      </c>
      <c r="J6" t="str">
        <f t="shared" si="2"/>
        <v>Aug 2026</v>
      </c>
    </row>
    <row r="7" spans="1:10" x14ac:dyDescent="0.3">
      <c r="A7" t="s">
        <v>93</v>
      </c>
      <c r="B7" t="s">
        <v>94</v>
      </c>
      <c r="C7" t="s">
        <v>52</v>
      </c>
      <c r="D7" s="5">
        <v>1</v>
      </c>
      <c r="E7" t="s">
        <v>91</v>
      </c>
      <c r="F7" t="s">
        <v>78</v>
      </c>
      <c r="G7" s="2">
        <f t="shared" si="0"/>
        <v>46281</v>
      </c>
      <c r="H7" cm="1">
        <f t="array" ref="H7">D7*_xlfn.XLOOKUP(C7,Clean_Inventry_Master!A:A,Clean_Inventry_Master!E:E,NOT FOUND,0)</f>
        <v>29.99</v>
      </c>
      <c r="I7" s="2">
        <f t="shared" si="1"/>
        <v>46266</v>
      </c>
      <c r="J7" t="str">
        <f t="shared" si="2"/>
        <v>Sep 2026</v>
      </c>
    </row>
    <row r="8" spans="1:10" x14ac:dyDescent="0.3">
      <c r="A8" t="s">
        <v>95</v>
      </c>
      <c r="B8" t="s">
        <v>96</v>
      </c>
      <c r="C8" t="s">
        <v>33</v>
      </c>
      <c r="D8" s="5">
        <v>7</v>
      </c>
      <c r="E8" t="s">
        <v>82</v>
      </c>
      <c r="F8" t="s">
        <v>92</v>
      </c>
      <c r="G8" s="2">
        <f t="shared" si="0"/>
        <v>46148</v>
      </c>
      <c r="H8" cm="1">
        <f t="array" ref="H8">D8*_xlfn.XLOOKUP(C8,Clean_Inventry_Master!A:A,Clean_Inventry_Master!E:E,NOT FOUND,0)</f>
        <v>168</v>
      </c>
      <c r="I8" s="2">
        <f t="shared" si="1"/>
        <v>46143</v>
      </c>
      <c r="J8" t="str">
        <f t="shared" si="2"/>
        <v>May 2026</v>
      </c>
    </row>
    <row r="9" spans="1:10" x14ac:dyDescent="0.3">
      <c r="A9" t="s">
        <v>97</v>
      </c>
      <c r="B9" t="s">
        <v>98</v>
      </c>
      <c r="C9" t="s">
        <v>68</v>
      </c>
      <c r="D9" s="5">
        <v>4</v>
      </c>
      <c r="E9" t="s">
        <v>77</v>
      </c>
      <c r="F9" t="s">
        <v>92</v>
      </c>
      <c r="G9" s="2">
        <f t="shared" si="0"/>
        <v>46150</v>
      </c>
      <c r="H9" cm="1">
        <f t="array" ref="H9">D9*_xlfn.XLOOKUP(C9,Clean_Inventry_Master!A:A,Clean_Inventry_Master!E:E,NOT FOUND,0)</f>
        <v>170</v>
      </c>
      <c r="I9" s="2">
        <f t="shared" si="1"/>
        <v>46143</v>
      </c>
      <c r="J9" t="str">
        <f t="shared" si="2"/>
        <v>May 2026</v>
      </c>
    </row>
    <row r="10" spans="1:10" x14ac:dyDescent="0.3">
      <c r="A10" t="s">
        <v>99</v>
      </c>
      <c r="B10" t="s">
        <v>100</v>
      </c>
      <c r="C10" t="s">
        <v>18</v>
      </c>
      <c r="D10" s="5">
        <v>14</v>
      </c>
      <c r="E10" t="s">
        <v>1308</v>
      </c>
      <c r="F10" t="s">
        <v>83</v>
      </c>
      <c r="G10" s="2">
        <f t="shared" si="0"/>
        <v>46126</v>
      </c>
      <c r="H10" cm="1">
        <f t="array" ref="H10">D10*_xlfn.XLOOKUP(C10,Clean_Inventry_Master!A:A,Clean_Inventry_Master!E:E,NOT FOUND,0)</f>
        <v>979.8599999999999</v>
      </c>
      <c r="I10" s="2">
        <f t="shared" si="1"/>
        <v>46113</v>
      </c>
      <c r="J10" t="str">
        <f t="shared" si="2"/>
        <v>Apr 2026</v>
      </c>
    </row>
    <row r="11" spans="1:10" x14ac:dyDescent="0.3">
      <c r="A11" t="s">
        <v>101</v>
      </c>
      <c r="B11" t="s">
        <v>102</v>
      </c>
      <c r="C11" t="s">
        <v>24</v>
      </c>
      <c r="D11" s="5">
        <v>12</v>
      </c>
      <c r="E11" t="s">
        <v>91</v>
      </c>
      <c r="F11" t="s">
        <v>78</v>
      </c>
      <c r="G11" s="2">
        <f t="shared" si="0"/>
        <v>46252</v>
      </c>
      <c r="H11" cm="1">
        <f t="array" ref="H11">D11*_xlfn.XLOOKUP(C11,Clean_Inventry_Master!A:A,Clean_Inventry_Master!E:E,NOT FOUND,0)</f>
        <v>1679.88</v>
      </c>
      <c r="I11" s="2">
        <f t="shared" si="1"/>
        <v>46235</v>
      </c>
      <c r="J11" t="str">
        <f t="shared" si="2"/>
        <v>Aug 2026</v>
      </c>
    </row>
    <row r="12" spans="1:10" x14ac:dyDescent="0.3">
      <c r="A12" t="s">
        <v>103</v>
      </c>
      <c r="B12" t="s">
        <v>104</v>
      </c>
      <c r="C12" t="s">
        <v>33</v>
      </c>
      <c r="D12" s="5">
        <v>10</v>
      </c>
      <c r="E12" t="s">
        <v>77</v>
      </c>
      <c r="F12" t="s">
        <v>92</v>
      </c>
      <c r="G12" s="2">
        <f t="shared" si="0"/>
        <v>46275</v>
      </c>
      <c r="H12" cm="1">
        <f t="array" ref="H12">D12*_xlfn.XLOOKUP(C12,Clean_Inventry_Master!A:A,Clean_Inventry_Master!E:E,NOT FOUND,0)</f>
        <v>240</v>
      </c>
      <c r="I12" s="2">
        <f t="shared" si="1"/>
        <v>46266</v>
      </c>
      <c r="J12" t="str">
        <f t="shared" si="2"/>
        <v>Sep 2026</v>
      </c>
    </row>
    <row r="13" spans="1:10" x14ac:dyDescent="0.3">
      <c r="A13" t="s">
        <v>106</v>
      </c>
      <c r="B13" t="s">
        <v>107</v>
      </c>
      <c r="C13" t="s">
        <v>24</v>
      </c>
      <c r="D13" s="5">
        <v>4</v>
      </c>
      <c r="E13" t="s">
        <v>1308</v>
      </c>
      <c r="F13" t="s">
        <v>78</v>
      </c>
      <c r="G13" s="2">
        <f t="shared" si="0"/>
        <v>46058</v>
      </c>
      <c r="H13" cm="1">
        <f t="array" ref="H13">D13*_xlfn.XLOOKUP(C13,Clean_Inventry_Master!A:A,Clean_Inventry_Master!E:E,NOT FOUND,0)</f>
        <v>559.96</v>
      </c>
      <c r="I13" s="2">
        <f t="shared" si="1"/>
        <v>46054</v>
      </c>
      <c r="J13" t="str">
        <f t="shared" si="2"/>
        <v>Feb 2026</v>
      </c>
    </row>
    <row r="14" spans="1:10" x14ac:dyDescent="0.3">
      <c r="A14" t="s">
        <v>108</v>
      </c>
      <c r="B14" t="s">
        <v>109</v>
      </c>
      <c r="C14" t="s">
        <v>66</v>
      </c>
      <c r="D14" s="5">
        <v>3</v>
      </c>
      <c r="E14" t="s">
        <v>91</v>
      </c>
      <c r="F14" t="s">
        <v>83</v>
      </c>
      <c r="G14" s="2">
        <f t="shared" si="0"/>
        <v>46166</v>
      </c>
      <c r="H14" cm="1">
        <f t="array" ref="H14">D14*_xlfn.XLOOKUP(C14,Clean_Inventry_Master!A:A,Clean_Inventry_Master!E:E,NOT FOUND,0)</f>
        <v>104.97</v>
      </c>
      <c r="I14" s="2">
        <f t="shared" si="1"/>
        <v>46143</v>
      </c>
      <c r="J14" t="str">
        <f t="shared" si="2"/>
        <v>May 2026</v>
      </c>
    </row>
    <row r="15" spans="1:10" x14ac:dyDescent="0.3">
      <c r="A15" t="s">
        <v>110</v>
      </c>
      <c r="B15" t="s">
        <v>111</v>
      </c>
      <c r="C15" t="s">
        <v>54</v>
      </c>
      <c r="D15" s="5">
        <v>4</v>
      </c>
      <c r="E15" t="s">
        <v>82</v>
      </c>
      <c r="F15" t="s">
        <v>78</v>
      </c>
      <c r="G15" s="2">
        <f t="shared" si="0"/>
        <v>46207</v>
      </c>
      <c r="H15" cm="1">
        <f t="array" ref="H15">D15*_xlfn.XLOOKUP(C15,Clean_Inventry_Master!A:A,Clean_Inventry_Master!E:E,NOT FOUND,0)</f>
        <v>1399.96</v>
      </c>
      <c r="I15" s="2">
        <f t="shared" si="1"/>
        <v>46204</v>
      </c>
      <c r="J15" t="str">
        <f t="shared" si="2"/>
        <v>Jul 2026</v>
      </c>
    </row>
    <row r="16" spans="1:10" x14ac:dyDescent="0.3">
      <c r="A16" t="s">
        <v>112</v>
      </c>
      <c r="B16" t="s">
        <v>113</v>
      </c>
      <c r="C16" t="s">
        <v>37</v>
      </c>
      <c r="D16" s="5">
        <v>14</v>
      </c>
      <c r="E16" t="s">
        <v>1308</v>
      </c>
      <c r="F16" t="s">
        <v>78</v>
      </c>
      <c r="G16" s="2">
        <f t="shared" si="0"/>
        <v>46280</v>
      </c>
      <c r="H16" cm="1">
        <f t="array" ref="H16">D16*_xlfn.XLOOKUP(C16,Clean_Inventry_Master!A:A,Clean_Inventry_Master!E:E,NOT FOUND,0)</f>
        <v>630</v>
      </c>
      <c r="I16" s="2">
        <f t="shared" si="1"/>
        <v>46266</v>
      </c>
      <c r="J16" t="str">
        <f t="shared" si="2"/>
        <v>Sep 2026</v>
      </c>
    </row>
    <row r="17" spans="1:10" x14ac:dyDescent="0.3">
      <c r="A17" t="s">
        <v>114</v>
      </c>
      <c r="B17" t="s">
        <v>115</v>
      </c>
      <c r="C17" t="s">
        <v>68</v>
      </c>
      <c r="D17" s="5">
        <v>14</v>
      </c>
      <c r="E17" t="s">
        <v>82</v>
      </c>
      <c r="F17" t="s">
        <v>92</v>
      </c>
      <c r="G17" s="2">
        <f t="shared" si="0"/>
        <v>46127</v>
      </c>
      <c r="H17" cm="1">
        <f t="array" ref="H17">D17*_xlfn.XLOOKUP(C17,Clean_Inventry_Master!A:A,Clean_Inventry_Master!E:E,NOT FOUND,0)</f>
        <v>595</v>
      </c>
      <c r="I17" s="2">
        <f t="shared" si="1"/>
        <v>46113</v>
      </c>
      <c r="J17" t="str">
        <f t="shared" si="2"/>
        <v>Apr 2026</v>
      </c>
    </row>
    <row r="18" spans="1:10" x14ac:dyDescent="0.3">
      <c r="A18" t="s">
        <v>117</v>
      </c>
      <c r="B18" t="s">
        <v>118</v>
      </c>
      <c r="C18" t="s">
        <v>41</v>
      </c>
      <c r="D18" s="5">
        <v>10</v>
      </c>
      <c r="E18" t="s">
        <v>91</v>
      </c>
      <c r="F18" t="s">
        <v>78</v>
      </c>
      <c r="G18" s="2">
        <f t="shared" si="0"/>
        <v>46209</v>
      </c>
      <c r="H18" cm="1">
        <f t="array" ref="H18">D18*_xlfn.XLOOKUP(C18,Clean_Inventry_Master!A:A,Clean_Inventry_Master!E:E,NOT FOUND,0)</f>
        <v>399.90000000000003</v>
      </c>
      <c r="I18" s="2">
        <f t="shared" si="1"/>
        <v>46204</v>
      </c>
      <c r="J18" t="str">
        <f t="shared" si="2"/>
        <v>Jul 2026</v>
      </c>
    </row>
    <row r="19" spans="1:10" x14ac:dyDescent="0.3">
      <c r="A19" t="s">
        <v>120</v>
      </c>
      <c r="B19" t="s">
        <v>121</v>
      </c>
      <c r="C19" t="s">
        <v>56</v>
      </c>
      <c r="D19" s="5">
        <v>4</v>
      </c>
      <c r="E19" t="s">
        <v>82</v>
      </c>
      <c r="F19" t="s">
        <v>83</v>
      </c>
      <c r="G19" s="2">
        <f t="shared" si="0"/>
        <v>46237</v>
      </c>
      <c r="H19" cm="1">
        <f t="array" ref="H19">D19*_xlfn.XLOOKUP(C19,Clean_Inventry_Master!A:A,Clean_Inventry_Master!E:E,NOT FOUND,0)</f>
        <v>119.96</v>
      </c>
      <c r="I19" s="2">
        <f t="shared" si="1"/>
        <v>46235</v>
      </c>
      <c r="J19" t="str">
        <f t="shared" si="2"/>
        <v>Aug 2026</v>
      </c>
    </row>
    <row r="20" spans="1:10" x14ac:dyDescent="0.3">
      <c r="A20" t="s">
        <v>123</v>
      </c>
      <c r="B20" t="s">
        <v>124</v>
      </c>
      <c r="C20" t="s">
        <v>37</v>
      </c>
      <c r="D20" s="5">
        <v>5</v>
      </c>
      <c r="E20" t="s">
        <v>82</v>
      </c>
      <c r="F20" t="s">
        <v>83</v>
      </c>
      <c r="G20" s="2">
        <f t="shared" si="0"/>
        <v>46274</v>
      </c>
      <c r="H20" cm="1">
        <f t="array" ref="H20">D20*_xlfn.XLOOKUP(C20,Clean_Inventry_Master!A:A,Clean_Inventry_Master!E:E,NOT FOUND,0)</f>
        <v>225</v>
      </c>
      <c r="I20" s="2">
        <f t="shared" si="1"/>
        <v>46266</v>
      </c>
      <c r="J20" t="str">
        <f t="shared" si="2"/>
        <v>Sep 2026</v>
      </c>
    </row>
    <row r="21" spans="1:10" x14ac:dyDescent="0.3">
      <c r="A21" t="s">
        <v>125</v>
      </c>
      <c r="B21" t="s">
        <v>126</v>
      </c>
      <c r="C21" t="s">
        <v>56</v>
      </c>
      <c r="D21" s="5">
        <v>2</v>
      </c>
      <c r="E21" t="s">
        <v>82</v>
      </c>
      <c r="F21" t="s">
        <v>92</v>
      </c>
      <c r="G21" s="2">
        <f t="shared" si="0"/>
        <v>46235</v>
      </c>
      <c r="H21" cm="1">
        <f t="array" ref="H21">D21*_xlfn.XLOOKUP(C21,Clean_Inventry_Master!A:A,Clean_Inventry_Master!E:E,NOT FOUND,0)</f>
        <v>59.98</v>
      </c>
      <c r="I21" s="2">
        <f t="shared" si="1"/>
        <v>46235</v>
      </c>
      <c r="J21" t="str">
        <f t="shared" si="2"/>
        <v>Aug 2026</v>
      </c>
    </row>
    <row r="22" spans="1:10" x14ac:dyDescent="0.3">
      <c r="A22" t="s">
        <v>127</v>
      </c>
      <c r="B22" t="s">
        <v>128</v>
      </c>
      <c r="C22" t="s">
        <v>14</v>
      </c>
      <c r="D22" s="5">
        <v>10</v>
      </c>
      <c r="E22" t="s">
        <v>77</v>
      </c>
      <c r="F22" t="s">
        <v>92</v>
      </c>
      <c r="G22" s="2">
        <f t="shared" si="0"/>
        <v>46063</v>
      </c>
      <c r="H22" cm="1">
        <f t="array" ref="H22">D22*_xlfn.XLOOKUP(C22,Clean_Inventry_Master!A:A,Clean_Inventry_Master!E:E,NOT FOUND,0)</f>
        <v>350</v>
      </c>
      <c r="I22" s="2">
        <f t="shared" si="1"/>
        <v>46054</v>
      </c>
      <c r="J22" t="str">
        <f t="shared" si="2"/>
        <v>Feb 2026</v>
      </c>
    </row>
    <row r="23" spans="1:10" x14ac:dyDescent="0.3">
      <c r="A23" t="s">
        <v>129</v>
      </c>
      <c r="B23" t="s">
        <v>130</v>
      </c>
      <c r="C23" t="s">
        <v>22</v>
      </c>
      <c r="D23" s="5">
        <v>2</v>
      </c>
      <c r="E23" t="s">
        <v>82</v>
      </c>
      <c r="F23" t="s">
        <v>78</v>
      </c>
      <c r="G23" s="2">
        <f t="shared" si="0"/>
        <v>46199</v>
      </c>
      <c r="H23" cm="1">
        <f t="array" ref="H23">D23*_xlfn.XLOOKUP(C23,Clean_Inventry_Master!A:A,Clean_Inventry_Master!E:E,NOT FOUND,0)</f>
        <v>239.98</v>
      </c>
      <c r="I23" s="2">
        <f t="shared" si="1"/>
        <v>46174</v>
      </c>
      <c r="J23" t="str">
        <f t="shared" si="2"/>
        <v>Jun 2026</v>
      </c>
    </row>
    <row r="24" spans="1:10" x14ac:dyDescent="0.3">
      <c r="A24" t="s">
        <v>131</v>
      </c>
      <c r="B24" t="s">
        <v>132</v>
      </c>
      <c r="C24" t="s">
        <v>54</v>
      </c>
      <c r="D24" s="5">
        <v>3</v>
      </c>
      <c r="E24" t="s">
        <v>77</v>
      </c>
      <c r="F24" t="s">
        <v>83</v>
      </c>
      <c r="G24" s="2">
        <f t="shared" si="0"/>
        <v>46094</v>
      </c>
      <c r="H24" cm="1">
        <f t="array" ref="H24">D24*_xlfn.XLOOKUP(C24,Clean_Inventry_Master!A:A,Clean_Inventry_Master!E:E,NOT FOUND,0)</f>
        <v>1049.97</v>
      </c>
      <c r="I24" s="2">
        <f t="shared" si="1"/>
        <v>46082</v>
      </c>
      <c r="J24" t="str">
        <f t="shared" si="2"/>
        <v>Mar 2026</v>
      </c>
    </row>
    <row r="25" spans="1:10" x14ac:dyDescent="0.3">
      <c r="A25" t="s">
        <v>133</v>
      </c>
      <c r="B25" t="s">
        <v>134</v>
      </c>
      <c r="C25" t="s">
        <v>33</v>
      </c>
      <c r="D25" s="5">
        <v>11</v>
      </c>
      <c r="E25" t="s">
        <v>91</v>
      </c>
      <c r="F25" t="s">
        <v>83</v>
      </c>
      <c r="G25" s="2">
        <f t="shared" si="0"/>
        <v>46271</v>
      </c>
      <c r="H25" cm="1">
        <f t="array" ref="H25">D25*_xlfn.XLOOKUP(C25,Clean_Inventry_Master!A:A,Clean_Inventry_Master!E:E,NOT FOUND,0)</f>
        <v>264</v>
      </c>
      <c r="I25" s="2">
        <f t="shared" si="1"/>
        <v>46266</v>
      </c>
      <c r="J25" t="str">
        <f t="shared" si="2"/>
        <v>Sep 2026</v>
      </c>
    </row>
    <row r="26" spans="1:10" x14ac:dyDescent="0.3">
      <c r="A26" t="s">
        <v>135</v>
      </c>
      <c r="B26" t="s">
        <v>136</v>
      </c>
      <c r="C26" t="s">
        <v>41</v>
      </c>
      <c r="D26" s="5">
        <v>1</v>
      </c>
      <c r="E26" t="s">
        <v>82</v>
      </c>
      <c r="F26" t="s">
        <v>92</v>
      </c>
      <c r="G26" s="2">
        <f t="shared" si="0"/>
        <v>46083</v>
      </c>
      <c r="H26" cm="1">
        <f t="array" ref="H26">D26*_xlfn.XLOOKUP(C26,Clean_Inventry_Master!A:A,Clean_Inventry_Master!E:E,NOT FOUND,0)</f>
        <v>39.99</v>
      </c>
      <c r="I26" s="2">
        <f t="shared" si="1"/>
        <v>46082</v>
      </c>
      <c r="J26" t="str">
        <f t="shared" si="2"/>
        <v>Mar 2026</v>
      </c>
    </row>
    <row r="27" spans="1:10" x14ac:dyDescent="0.3">
      <c r="A27" t="s">
        <v>137</v>
      </c>
      <c r="B27" t="s">
        <v>138</v>
      </c>
      <c r="C27" t="s">
        <v>22</v>
      </c>
      <c r="D27" s="5">
        <v>7</v>
      </c>
      <c r="E27" t="s">
        <v>1308</v>
      </c>
      <c r="F27" t="s">
        <v>83</v>
      </c>
      <c r="G27" s="2">
        <f t="shared" si="0"/>
        <v>46275</v>
      </c>
      <c r="H27" cm="1">
        <f t="array" ref="H27">D27*_xlfn.XLOOKUP(C27,Clean_Inventry_Master!A:A,Clean_Inventry_Master!E:E,NOT FOUND,0)</f>
        <v>839.93</v>
      </c>
      <c r="I27" s="2">
        <f t="shared" si="1"/>
        <v>46266</v>
      </c>
      <c r="J27" t="str">
        <f t="shared" si="2"/>
        <v>Sep 2026</v>
      </c>
    </row>
    <row r="28" spans="1:10" x14ac:dyDescent="0.3">
      <c r="A28" t="s">
        <v>139</v>
      </c>
      <c r="B28" t="s">
        <v>96</v>
      </c>
      <c r="C28" t="s">
        <v>28</v>
      </c>
      <c r="D28" s="5">
        <v>13</v>
      </c>
      <c r="E28" t="s">
        <v>1308</v>
      </c>
      <c r="F28" t="s">
        <v>92</v>
      </c>
      <c r="G28" s="2">
        <f t="shared" si="0"/>
        <v>46148</v>
      </c>
      <c r="H28" cm="1">
        <f t="array" ref="H28">D28*_xlfn.XLOOKUP(C28,Clean_Inventry_Master!A:A,Clean_Inventry_Master!E:E,NOT FOUND,0)</f>
        <v>2340</v>
      </c>
      <c r="I28" s="2">
        <f t="shared" si="1"/>
        <v>46143</v>
      </c>
      <c r="J28" t="str">
        <f t="shared" si="2"/>
        <v>May 2026</v>
      </c>
    </row>
    <row r="29" spans="1:10" x14ac:dyDescent="0.3">
      <c r="A29" t="s">
        <v>140</v>
      </c>
      <c r="B29" t="s">
        <v>141</v>
      </c>
      <c r="C29" t="s">
        <v>35</v>
      </c>
      <c r="D29" s="5">
        <v>3</v>
      </c>
      <c r="E29" t="s">
        <v>91</v>
      </c>
      <c r="F29" t="s">
        <v>92</v>
      </c>
      <c r="G29" s="2">
        <f t="shared" si="0"/>
        <v>46172</v>
      </c>
      <c r="H29" cm="1">
        <f t="array" ref="H29">D29*_xlfn.XLOOKUP(C29,Clean_Inventry_Master!A:A,Clean_Inventry_Master!E:E,NOT FOUND,0)</f>
        <v>29.97</v>
      </c>
      <c r="I29" s="2">
        <f t="shared" si="1"/>
        <v>46143</v>
      </c>
      <c r="J29" t="str">
        <f t="shared" si="2"/>
        <v>May 2026</v>
      </c>
    </row>
    <row r="30" spans="1:10" x14ac:dyDescent="0.3">
      <c r="A30" t="s">
        <v>142</v>
      </c>
      <c r="B30" t="s">
        <v>143</v>
      </c>
      <c r="C30" t="s">
        <v>58</v>
      </c>
      <c r="D30" s="5">
        <v>5</v>
      </c>
      <c r="E30" t="s">
        <v>91</v>
      </c>
      <c r="F30" t="s">
        <v>92</v>
      </c>
      <c r="G30" s="2">
        <f t="shared" si="0"/>
        <v>46140</v>
      </c>
      <c r="H30" cm="1">
        <f t="array" ref="H30">D30*_xlfn.XLOOKUP(C30,Clean_Inventry_Master!A:A,Clean_Inventry_Master!E:E,NOT FOUND,0)</f>
        <v>299.95</v>
      </c>
      <c r="I30" s="2">
        <f t="shared" si="1"/>
        <v>46113</v>
      </c>
      <c r="J30" t="str">
        <f t="shared" si="2"/>
        <v>Apr 2026</v>
      </c>
    </row>
    <row r="31" spans="1:10" x14ac:dyDescent="0.3">
      <c r="A31" t="s">
        <v>144</v>
      </c>
      <c r="B31" t="s">
        <v>145</v>
      </c>
      <c r="C31" t="s">
        <v>64</v>
      </c>
      <c r="D31" s="5">
        <v>14</v>
      </c>
      <c r="E31" t="s">
        <v>1308</v>
      </c>
      <c r="F31" t="s">
        <v>83</v>
      </c>
      <c r="G31" s="2">
        <f t="shared" si="0"/>
        <v>46287</v>
      </c>
      <c r="H31" cm="1">
        <f t="array" ref="H31">D31*_xlfn.XLOOKUP(C31,Clean_Inventry_Master!A:A,Clean_Inventry_Master!E:E,NOT FOUND,0)</f>
        <v>279.85999999999996</v>
      </c>
      <c r="I31" s="2">
        <f t="shared" si="1"/>
        <v>46266</v>
      </c>
      <c r="J31" t="str">
        <f t="shared" si="2"/>
        <v>Sep 2026</v>
      </c>
    </row>
    <row r="32" spans="1:10" x14ac:dyDescent="0.3">
      <c r="A32" t="s">
        <v>146</v>
      </c>
      <c r="B32" t="s">
        <v>147</v>
      </c>
      <c r="C32" t="s">
        <v>39</v>
      </c>
      <c r="D32" s="5">
        <v>4</v>
      </c>
      <c r="E32" t="s">
        <v>77</v>
      </c>
      <c r="F32" t="s">
        <v>78</v>
      </c>
      <c r="G32" s="2">
        <f t="shared" si="0"/>
        <v>46154</v>
      </c>
      <c r="H32" cm="1">
        <f t="array" ref="H32">D32*_xlfn.XLOOKUP(C32,Clean_Inventry_Master!A:A,Clean_Inventry_Master!E:E,NOT FOUND,0)</f>
        <v>87.96</v>
      </c>
      <c r="I32" s="2">
        <f t="shared" si="1"/>
        <v>46143</v>
      </c>
      <c r="J32" t="str">
        <f t="shared" si="2"/>
        <v>May 2026</v>
      </c>
    </row>
    <row r="33" spans="1:10" x14ac:dyDescent="0.3">
      <c r="A33" t="s">
        <v>148</v>
      </c>
      <c r="B33" t="s">
        <v>149</v>
      </c>
      <c r="C33" t="s">
        <v>41</v>
      </c>
      <c r="D33" s="5">
        <v>3</v>
      </c>
      <c r="E33" t="s">
        <v>77</v>
      </c>
      <c r="F33" t="s">
        <v>83</v>
      </c>
      <c r="G33" s="2">
        <f t="shared" si="0"/>
        <v>46179</v>
      </c>
      <c r="H33" cm="1">
        <f t="array" ref="H33">D33*_xlfn.XLOOKUP(C33,Clean_Inventry_Master!A:A,Clean_Inventry_Master!E:E,NOT FOUND,0)</f>
        <v>119.97</v>
      </c>
      <c r="I33" s="2">
        <f t="shared" si="1"/>
        <v>46174</v>
      </c>
      <c r="J33" t="str">
        <f t="shared" si="2"/>
        <v>Jun 2026</v>
      </c>
    </row>
    <row r="34" spans="1:10" x14ac:dyDescent="0.3">
      <c r="A34" t="s">
        <v>150</v>
      </c>
      <c r="B34" t="s">
        <v>151</v>
      </c>
      <c r="C34" t="s">
        <v>20</v>
      </c>
      <c r="D34" s="5">
        <v>3</v>
      </c>
      <c r="E34" t="s">
        <v>91</v>
      </c>
      <c r="F34" t="s">
        <v>83</v>
      </c>
      <c r="G34" s="2">
        <f t="shared" si="0"/>
        <v>46091</v>
      </c>
      <c r="H34" cm="1">
        <f t="array" ref="H34">D34*_xlfn.XLOOKUP(C34,Clean_Inventry_Master!A:A,Clean_Inventry_Master!E:E,NOT FOUND,0)</f>
        <v>239.96999999999997</v>
      </c>
      <c r="I34" s="2">
        <f t="shared" si="1"/>
        <v>46082</v>
      </c>
      <c r="J34" t="str">
        <f t="shared" si="2"/>
        <v>Mar 2026</v>
      </c>
    </row>
    <row r="35" spans="1:10" x14ac:dyDescent="0.3">
      <c r="A35" t="s">
        <v>152</v>
      </c>
      <c r="B35" t="s">
        <v>153</v>
      </c>
      <c r="C35" t="s">
        <v>28</v>
      </c>
      <c r="D35" s="5">
        <v>2</v>
      </c>
      <c r="E35" t="s">
        <v>77</v>
      </c>
      <c r="F35" t="s">
        <v>83</v>
      </c>
      <c r="G35" s="2">
        <f t="shared" si="0"/>
        <v>46236</v>
      </c>
      <c r="H35" cm="1">
        <f t="array" ref="H35">D35*_xlfn.XLOOKUP(C35,Clean_Inventry_Master!A:A,Clean_Inventry_Master!E:E,NOT FOUND,0)</f>
        <v>360</v>
      </c>
      <c r="I35" s="2">
        <f t="shared" si="1"/>
        <v>46235</v>
      </c>
      <c r="J35" t="str">
        <f t="shared" si="2"/>
        <v>Aug 2026</v>
      </c>
    </row>
    <row r="36" spans="1:10" x14ac:dyDescent="0.3">
      <c r="A36" t="s">
        <v>154</v>
      </c>
      <c r="B36" t="s">
        <v>155</v>
      </c>
      <c r="C36" t="s">
        <v>22</v>
      </c>
      <c r="D36" s="5">
        <v>7</v>
      </c>
      <c r="E36" t="s">
        <v>77</v>
      </c>
      <c r="F36" t="s">
        <v>78</v>
      </c>
      <c r="G36" s="2">
        <f t="shared" si="0"/>
        <v>46039</v>
      </c>
      <c r="H36" cm="1">
        <f t="array" ref="H36">D36*_xlfn.XLOOKUP(C36,Clean_Inventry_Master!A:A,Clean_Inventry_Master!E:E,NOT FOUND,0)</f>
        <v>839.93</v>
      </c>
      <c r="I36" s="2">
        <f t="shared" si="1"/>
        <v>46023</v>
      </c>
      <c r="J36" t="str">
        <f t="shared" si="2"/>
        <v>Jan 2026</v>
      </c>
    </row>
    <row r="37" spans="1:10" x14ac:dyDescent="0.3">
      <c r="A37" t="s">
        <v>156</v>
      </c>
      <c r="B37" t="s">
        <v>157</v>
      </c>
      <c r="C37" t="s">
        <v>24</v>
      </c>
      <c r="D37" s="5">
        <v>1</v>
      </c>
      <c r="E37" t="s">
        <v>77</v>
      </c>
      <c r="F37" t="s">
        <v>78</v>
      </c>
      <c r="G37" s="2">
        <f t="shared" si="0"/>
        <v>46233</v>
      </c>
      <c r="H37" cm="1">
        <f t="array" ref="H37">D37*_xlfn.XLOOKUP(C37,Clean_Inventry_Master!A:A,Clean_Inventry_Master!E:E,NOT FOUND,0)</f>
        <v>139.99</v>
      </c>
      <c r="I37" s="2">
        <f t="shared" si="1"/>
        <v>46204</v>
      </c>
      <c r="J37" t="str">
        <f t="shared" si="2"/>
        <v>Jul 2026</v>
      </c>
    </row>
    <row r="38" spans="1:10" x14ac:dyDescent="0.3">
      <c r="A38" t="s">
        <v>158</v>
      </c>
      <c r="B38" t="s">
        <v>159</v>
      </c>
      <c r="C38" t="s">
        <v>24</v>
      </c>
      <c r="D38" s="5">
        <v>5</v>
      </c>
      <c r="E38" t="s">
        <v>77</v>
      </c>
      <c r="F38" t="s">
        <v>92</v>
      </c>
      <c r="G38" s="2">
        <f t="shared" si="0"/>
        <v>46200</v>
      </c>
      <c r="H38" cm="1">
        <f t="array" ref="H38">D38*_xlfn.XLOOKUP(C38,Clean_Inventry_Master!A:A,Clean_Inventry_Master!E:E,NOT FOUND,0)</f>
        <v>699.95</v>
      </c>
      <c r="I38" s="2">
        <f t="shared" si="1"/>
        <v>46174</v>
      </c>
      <c r="J38" t="str">
        <f t="shared" si="2"/>
        <v>Jun 2026</v>
      </c>
    </row>
    <row r="39" spans="1:10" x14ac:dyDescent="0.3">
      <c r="A39" t="s">
        <v>160</v>
      </c>
      <c r="B39" t="s">
        <v>107</v>
      </c>
      <c r="C39" t="s">
        <v>20</v>
      </c>
      <c r="D39" s="5">
        <v>2</v>
      </c>
      <c r="E39" t="s">
        <v>77</v>
      </c>
      <c r="F39" t="s">
        <v>92</v>
      </c>
      <c r="G39" s="2">
        <f t="shared" si="0"/>
        <v>46058</v>
      </c>
      <c r="H39" cm="1">
        <f t="array" ref="H39">D39*_xlfn.XLOOKUP(C39,Clean_Inventry_Master!A:A,Clean_Inventry_Master!E:E,NOT FOUND,0)</f>
        <v>159.97999999999999</v>
      </c>
      <c r="I39" s="2">
        <f t="shared" si="1"/>
        <v>46054</v>
      </c>
      <c r="J39" t="str">
        <f t="shared" si="2"/>
        <v>Feb 2026</v>
      </c>
    </row>
    <row r="40" spans="1:10" x14ac:dyDescent="0.3">
      <c r="A40" t="s">
        <v>161</v>
      </c>
      <c r="B40" t="s">
        <v>162</v>
      </c>
      <c r="C40" t="s">
        <v>62</v>
      </c>
      <c r="D40" s="5">
        <v>5</v>
      </c>
      <c r="E40" t="s">
        <v>77</v>
      </c>
      <c r="F40" t="s">
        <v>92</v>
      </c>
      <c r="G40" s="2">
        <f t="shared" si="0"/>
        <v>46036</v>
      </c>
      <c r="H40" cm="1">
        <f t="array" ref="H40">D40*_xlfn.XLOOKUP(C40,Clean_Inventry_Master!A:A,Clean_Inventry_Master!E:E,NOT FOUND,0)</f>
        <v>137.5</v>
      </c>
      <c r="I40" s="2">
        <f t="shared" si="1"/>
        <v>46023</v>
      </c>
      <c r="J40" t="str">
        <f t="shared" si="2"/>
        <v>Jan 2026</v>
      </c>
    </row>
    <row r="41" spans="1:10" x14ac:dyDescent="0.3">
      <c r="A41" t="s">
        <v>163</v>
      </c>
      <c r="B41" t="s">
        <v>164</v>
      </c>
      <c r="C41" t="s">
        <v>66</v>
      </c>
      <c r="D41" s="5">
        <v>5</v>
      </c>
      <c r="E41" t="s">
        <v>82</v>
      </c>
      <c r="F41" t="s">
        <v>92</v>
      </c>
      <c r="G41" s="2">
        <f t="shared" si="0"/>
        <v>46156</v>
      </c>
      <c r="H41" cm="1">
        <f t="array" ref="H41">D41*_xlfn.XLOOKUP(C41,Clean_Inventry_Master!A:A,Clean_Inventry_Master!E:E,NOT FOUND,0)</f>
        <v>174.95000000000002</v>
      </c>
      <c r="I41" s="2">
        <f t="shared" si="1"/>
        <v>46143</v>
      </c>
      <c r="J41" t="str">
        <f t="shared" si="2"/>
        <v>May 2026</v>
      </c>
    </row>
    <row r="42" spans="1:10" x14ac:dyDescent="0.3">
      <c r="A42" t="s">
        <v>166</v>
      </c>
      <c r="B42" t="s">
        <v>167</v>
      </c>
      <c r="C42" t="s">
        <v>14</v>
      </c>
      <c r="D42" s="5">
        <v>12</v>
      </c>
      <c r="E42" t="s">
        <v>77</v>
      </c>
      <c r="F42" t="s">
        <v>92</v>
      </c>
      <c r="G42" s="2">
        <f t="shared" si="0"/>
        <v>46272</v>
      </c>
      <c r="H42" cm="1">
        <f t="array" ref="H42">D42*_xlfn.XLOOKUP(C42,Clean_Inventry_Master!A:A,Clean_Inventry_Master!E:E,NOT FOUND,0)</f>
        <v>420</v>
      </c>
      <c r="I42" s="2">
        <f t="shared" si="1"/>
        <v>46266</v>
      </c>
      <c r="J42" t="str">
        <f t="shared" si="2"/>
        <v>Sep 2026</v>
      </c>
    </row>
    <row r="43" spans="1:10" x14ac:dyDescent="0.3">
      <c r="A43" t="s">
        <v>168</v>
      </c>
      <c r="B43" t="s">
        <v>169</v>
      </c>
      <c r="C43" t="s">
        <v>14</v>
      </c>
      <c r="D43" s="5">
        <v>7</v>
      </c>
      <c r="E43" t="s">
        <v>1308</v>
      </c>
      <c r="F43" t="s">
        <v>78</v>
      </c>
      <c r="G43" s="2">
        <f t="shared" si="0"/>
        <v>46066</v>
      </c>
      <c r="H43" cm="1">
        <f t="array" ref="H43">D43*_xlfn.XLOOKUP(C43,Clean_Inventry_Master!A:A,Clean_Inventry_Master!E:E,NOT FOUND,0)</f>
        <v>245</v>
      </c>
      <c r="I43" s="2">
        <f t="shared" si="1"/>
        <v>46054</v>
      </c>
      <c r="J43" t="str">
        <f t="shared" si="2"/>
        <v>Feb 2026</v>
      </c>
    </row>
    <row r="44" spans="1:10" x14ac:dyDescent="0.3">
      <c r="A44" t="s">
        <v>170</v>
      </c>
      <c r="B44" t="s">
        <v>171</v>
      </c>
      <c r="C44" t="s">
        <v>66</v>
      </c>
      <c r="D44" s="5">
        <v>2</v>
      </c>
      <c r="E44" t="s">
        <v>91</v>
      </c>
      <c r="F44" t="s">
        <v>92</v>
      </c>
      <c r="G44" s="2">
        <f t="shared" si="0"/>
        <v>46139</v>
      </c>
      <c r="H44" cm="1">
        <f t="array" ref="H44">D44*_xlfn.XLOOKUP(C44,Clean_Inventry_Master!A:A,Clean_Inventry_Master!E:E,NOT FOUND,0)</f>
        <v>69.98</v>
      </c>
      <c r="I44" s="2">
        <f t="shared" si="1"/>
        <v>46113</v>
      </c>
      <c r="J44" t="str">
        <f t="shared" si="2"/>
        <v>Apr 2026</v>
      </c>
    </row>
    <row r="45" spans="1:10" x14ac:dyDescent="0.3">
      <c r="A45" t="s">
        <v>172</v>
      </c>
      <c r="B45" t="s">
        <v>173</v>
      </c>
      <c r="C45" t="s">
        <v>56</v>
      </c>
      <c r="D45" s="5">
        <v>4</v>
      </c>
      <c r="E45" t="s">
        <v>1308</v>
      </c>
      <c r="F45" t="s">
        <v>83</v>
      </c>
      <c r="G45" s="2">
        <f t="shared" si="0"/>
        <v>46130</v>
      </c>
      <c r="H45" cm="1">
        <f t="array" ref="H45">D45*_xlfn.XLOOKUP(C45,Clean_Inventry_Master!A:A,Clean_Inventry_Master!E:E,NOT FOUND,0)</f>
        <v>119.96</v>
      </c>
      <c r="I45" s="2">
        <f t="shared" si="1"/>
        <v>46113</v>
      </c>
      <c r="J45" t="str">
        <f t="shared" si="2"/>
        <v>Apr 2026</v>
      </c>
    </row>
    <row r="46" spans="1:10" x14ac:dyDescent="0.3">
      <c r="A46" t="s">
        <v>174</v>
      </c>
      <c r="B46" t="s">
        <v>175</v>
      </c>
      <c r="C46" t="s">
        <v>47</v>
      </c>
      <c r="D46" s="5">
        <v>13</v>
      </c>
      <c r="E46" t="s">
        <v>1308</v>
      </c>
      <c r="F46" t="s">
        <v>83</v>
      </c>
      <c r="G46" s="2">
        <f t="shared" si="0"/>
        <v>46175</v>
      </c>
      <c r="H46" cm="1">
        <f t="array" ref="H46">D46*_xlfn.XLOOKUP(C46,Clean_Inventry_Master!A:A,Clean_Inventry_Master!E:E,NOT FOUND,0)</f>
        <v>1689.8700000000001</v>
      </c>
      <c r="I46" s="2">
        <f t="shared" si="1"/>
        <v>46174</v>
      </c>
      <c r="J46" t="str">
        <f t="shared" si="2"/>
        <v>Jun 2026</v>
      </c>
    </row>
    <row r="47" spans="1:10" x14ac:dyDescent="0.3">
      <c r="A47" t="s">
        <v>176</v>
      </c>
      <c r="B47" t="s">
        <v>177</v>
      </c>
      <c r="C47" t="s">
        <v>49</v>
      </c>
      <c r="D47" s="5">
        <v>4</v>
      </c>
      <c r="E47" t="s">
        <v>1308</v>
      </c>
      <c r="F47" t="s">
        <v>92</v>
      </c>
      <c r="G47" s="2">
        <f t="shared" si="0"/>
        <v>46129</v>
      </c>
      <c r="H47" cm="1">
        <f t="array" ref="H47">D47*_xlfn.XLOOKUP(C47,Clean_Inventry_Master!A:A,Clean_Inventry_Master!E:E,NOT FOUND,0)</f>
        <v>199.96</v>
      </c>
      <c r="I47" s="2">
        <f t="shared" si="1"/>
        <v>46113</v>
      </c>
      <c r="J47" t="str">
        <f t="shared" si="2"/>
        <v>Apr 2026</v>
      </c>
    </row>
    <row r="48" spans="1:10" x14ac:dyDescent="0.3">
      <c r="A48" t="s">
        <v>178</v>
      </c>
      <c r="B48" t="s">
        <v>179</v>
      </c>
      <c r="C48" t="s">
        <v>49</v>
      </c>
      <c r="D48" s="5">
        <v>8</v>
      </c>
      <c r="E48" t="s">
        <v>91</v>
      </c>
      <c r="F48" t="s">
        <v>83</v>
      </c>
      <c r="G48" s="2">
        <f t="shared" si="0"/>
        <v>46120</v>
      </c>
      <c r="H48" cm="1">
        <f t="array" ref="H48">D48*_xlfn.XLOOKUP(C48,Clean_Inventry_Master!A:A,Clean_Inventry_Master!E:E,NOT FOUND,0)</f>
        <v>399.92</v>
      </c>
      <c r="I48" s="2">
        <f t="shared" si="1"/>
        <v>46113</v>
      </c>
      <c r="J48" t="str">
        <f t="shared" si="2"/>
        <v>Apr 2026</v>
      </c>
    </row>
    <row r="49" spans="1:10" x14ac:dyDescent="0.3">
      <c r="A49" t="s">
        <v>180</v>
      </c>
      <c r="B49" t="s">
        <v>181</v>
      </c>
      <c r="C49" t="s">
        <v>35</v>
      </c>
      <c r="D49" s="5">
        <v>7</v>
      </c>
      <c r="E49" t="s">
        <v>1308</v>
      </c>
      <c r="F49" t="s">
        <v>83</v>
      </c>
      <c r="G49" s="2">
        <f t="shared" si="0"/>
        <v>46137</v>
      </c>
      <c r="H49" cm="1">
        <f t="array" ref="H49">D49*_xlfn.XLOOKUP(C49,Clean_Inventry_Master!A:A,Clean_Inventry_Master!E:E,NOT FOUND,0)</f>
        <v>69.930000000000007</v>
      </c>
      <c r="I49" s="2">
        <f t="shared" si="1"/>
        <v>46113</v>
      </c>
      <c r="J49" t="str">
        <f t="shared" si="2"/>
        <v>Apr 2026</v>
      </c>
    </row>
    <row r="50" spans="1:10" x14ac:dyDescent="0.3">
      <c r="A50" t="s">
        <v>182</v>
      </c>
      <c r="B50" t="s">
        <v>183</v>
      </c>
      <c r="C50" t="s">
        <v>64</v>
      </c>
      <c r="D50" s="5">
        <v>14</v>
      </c>
      <c r="E50" t="s">
        <v>91</v>
      </c>
      <c r="F50" t="s">
        <v>92</v>
      </c>
      <c r="G50" s="2">
        <f t="shared" si="0"/>
        <v>46182</v>
      </c>
      <c r="H50" cm="1">
        <f t="array" ref="H50">D50*_xlfn.XLOOKUP(C50,Clean_Inventry_Master!A:A,Clean_Inventry_Master!E:E,NOT FOUND,0)</f>
        <v>279.85999999999996</v>
      </c>
      <c r="I50" s="2">
        <f t="shared" si="1"/>
        <v>46174</v>
      </c>
      <c r="J50" t="str">
        <f t="shared" si="2"/>
        <v>Jun 2026</v>
      </c>
    </row>
    <row r="51" spans="1:10" x14ac:dyDescent="0.3">
      <c r="A51" t="s">
        <v>184</v>
      </c>
      <c r="B51" t="s">
        <v>185</v>
      </c>
      <c r="C51" t="s">
        <v>24</v>
      </c>
      <c r="D51" s="5">
        <v>2</v>
      </c>
      <c r="E51" t="s">
        <v>91</v>
      </c>
      <c r="F51" t="s">
        <v>92</v>
      </c>
      <c r="G51" s="2">
        <f t="shared" si="0"/>
        <v>46300</v>
      </c>
      <c r="H51" cm="1">
        <f t="array" ref="H51">D51*_xlfn.XLOOKUP(C51,Clean_Inventry_Master!A:A,Clean_Inventry_Master!E:E,NOT FOUND,0)</f>
        <v>279.98</v>
      </c>
      <c r="I51" s="2">
        <f t="shared" si="1"/>
        <v>46296</v>
      </c>
      <c r="J51" t="str">
        <f t="shared" si="2"/>
        <v>Oct 2026</v>
      </c>
    </row>
    <row r="52" spans="1:10" x14ac:dyDescent="0.3">
      <c r="A52" t="s">
        <v>186</v>
      </c>
      <c r="B52" t="s">
        <v>187</v>
      </c>
      <c r="C52" t="s">
        <v>68</v>
      </c>
      <c r="D52" s="5">
        <v>3</v>
      </c>
      <c r="E52" t="s">
        <v>82</v>
      </c>
      <c r="F52" t="s">
        <v>92</v>
      </c>
      <c r="G52" s="2">
        <f t="shared" si="0"/>
        <v>46121</v>
      </c>
      <c r="H52" cm="1">
        <f t="array" ref="H52">D52*_xlfn.XLOOKUP(C52,Clean_Inventry_Master!A:A,Clean_Inventry_Master!E:E,NOT FOUND,0)</f>
        <v>127.5</v>
      </c>
      <c r="I52" s="2">
        <f t="shared" si="1"/>
        <v>46113</v>
      </c>
      <c r="J52" t="str">
        <f t="shared" si="2"/>
        <v>Apr 2026</v>
      </c>
    </row>
    <row r="53" spans="1:10" x14ac:dyDescent="0.3">
      <c r="A53" t="s">
        <v>188</v>
      </c>
      <c r="B53" t="s">
        <v>189</v>
      </c>
      <c r="C53" t="s">
        <v>28</v>
      </c>
      <c r="D53" s="5">
        <v>12</v>
      </c>
      <c r="E53" t="s">
        <v>77</v>
      </c>
      <c r="F53" t="s">
        <v>83</v>
      </c>
      <c r="G53" s="2">
        <f t="shared" si="0"/>
        <v>46302</v>
      </c>
      <c r="H53" cm="1">
        <f t="array" ref="H53">D53*_xlfn.XLOOKUP(C53,Clean_Inventry_Master!A:A,Clean_Inventry_Master!E:E,NOT FOUND,0)</f>
        <v>2160</v>
      </c>
      <c r="I53" s="2">
        <f t="shared" si="1"/>
        <v>46296</v>
      </c>
      <c r="J53" t="str">
        <f t="shared" si="2"/>
        <v>Oct 2026</v>
      </c>
    </row>
    <row r="54" spans="1:10" x14ac:dyDescent="0.3">
      <c r="A54" t="s">
        <v>190</v>
      </c>
      <c r="B54" t="s">
        <v>171</v>
      </c>
      <c r="C54" t="s">
        <v>16</v>
      </c>
      <c r="D54" s="5">
        <v>12</v>
      </c>
      <c r="E54" t="s">
        <v>82</v>
      </c>
      <c r="F54" t="s">
        <v>92</v>
      </c>
      <c r="G54" s="2">
        <f t="shared" si="0"/>
        <v>46139</v>
      </c>
      <c r="H54" cm="1">
        <f t="array" ref="H54">D54*_xlfn.XLOOKUP(C54,Clean_Inventry_Master!A:A,Clean_Inventry_Master!E:E,NOT FOUND,0)</f>
        <v>2748</v>
      </c>
      <c r="I54" s="2">
        <f t="shared" si="1"/>
        <v>46113</v>
      </c>
      <c r="J54" t="str">
        <f t="shared" si="2"/>
        <v>Apr 2026</v>
      </c>
    </row>
    <row r="55" spans="1:10" x14ac:dyDescent="0.3">
      <c r="A55" t="s">
        <v>191</v>
      </c>
      <c r="B55" t="s">
        <v>192</v>
      </c>
      <c r="C55" t="s">
        <v>56</v>
      </c>
      <c r="D55" s="5">
        <v>9</v>
      </c>
      <c r="E55" t="s">
        <v>77</v>
      </c>
      <c r="F55" t="s">
        <v>78</v>
      </c>
      <c r="G55" s="2">
        <f t="shared" si="0"/>
        <v>46224</v>
      </c>
      <c r="H55" cm="1">
        <f t="array" ref="H55">D55*_xlfn.XLOOKUP(C55,Clean_Inventry_Master!A:A,Clean_Inventry_Master!E:E,NOT FOUND,0)</f>
        <v>269.90999999999997</v>
      </c>
      <c r="I55" s="2">
        <f t="shared" si="1"/>
        <v>46204</v>
      </c>
      <c r="J55" t="str">
        <f t="shared" si="2"/>
        <v>Jul 2026</v>
      </c>
    </row>
    <row r="56" spans="1:10" x14ac:dyDescent="0.3">
      <c r="A56" t="s">
        <v>193</v>
      </c>
      <c r="B56" t="s">
        <v>128</v>
      </c>
      <c r="C56" t="s">
        <v>66</v>
      </c>
      <c r="D56" s="5">
        <v>3</v>
      </c>
      <c r="E56" t="s">
        <v>82</v>
      </c>
      <c r="F56" t="s">
        <v>83</v>
      </c>
      <c r="G56" s="2">
        <f t="shared" si="0"/>
        <v>46063</v>
      </c>
      <c r="H56" cm="1">
        <f t="array" ref="H56">D56*_xlfn.XLOOKUP(C56,Clean_Inventry_Master!A:A,Clean_Inventry_Master!E:E,NOT FOUND,0)</f>
        <v>104.97</v>
      </c>
      <c r="I56" s="2">
        <f t="shared" si="1"/>
        <v>46054</v>
      </c>
      <c r="J56" t="str">
        <f t="shared" si="2"/>
        <v>Feb 2026</v>
      </c>
    </row>
    <row r="57" spans="1:10" x14ac:dyDescent="0.3">
      <c r="A57" t="s">
        <v>194</v>
      </c>
      <c r="B57" t="s">
        <v>157</v>
      </c>
      <c r="C57" t="s">
        <v>18</v>
      </c>
      <c r="D57" s="5">
        <v>2</v>
      </c>
      <c r="E57" t="s">
        <v>82</v>
      </c>
      <c r="F57" t="s">
        <v>83</v>
      </c>
      <c r="G57" s="2">
        <f t="shared" si="0"/>
        <v>46233</v>
      </c>
      <c r="H57" cm="1">
        <f t="array" ref="H57">D57*_xlfn.XLOOKUP(C57,Clean_Inventry_Master!A:A,Clean_Inventry_Master!E:E,NOT FOUND,0)</f>
        <v>139.97999999999999</v>
      </c>
      <c r="I57" s="2">
        <f t="shared" si="1"/>
        <v>46204</v>
      </c>
      <c r="J57" t="str">
        <f t="shared" si="2"/>
        <v>Jul 2026</v>
      </c>
    </row>
    <row r="58" spans="1:10" x14ac:dyDescent="0.3">
      <c r="A58" t="s">
        <v>195</v>
      </c>
      <c r="B58" t="s">
        <v>196</v>
      </c>
      <c r="C58" t="s">
        <v>28</v>
      </c>
      <c r="D58" s="5">
        <v>9</v>
      </c>
      <c r="E58" t="s">
        <v>82</v>
      </c>
      <c r="F58" t="s">
        <v>83</v>
      </c>
      <c r="G58" s="2">
        <f t="shared" si="0"/>
        <v>46265</v>
      </c>
      <c r="H58" cm="1">
        <f t="array" ref="H58">D58*_xlfn.XLOOKUP(C58,Clean_Inventry_Master!A:A,Clean_Inventry_Master!E:E,NOT FOUND,0)</f>
        <v>1620</v>
      </c>
      <c r="I58" s="2">
        <f t="shared" si="1"/>
        <v>46235</v>
      </c>
      <c r="J58" t="str">
        <f t="shared" si="2"/>
        <v>Aug 2026</v>
      </c>
    </row>
    <row r="59" spans="1:10" x14ac:dyDescent="0.3">
      <c r="A59" t="s">
        <v>197</v>
      </c>
      <c r="B59" t="s">
        <v>90</v>
      </c>
      <c r="C59" t="s">
        <v>35</v>
      </c>
      <c r="D59" s="5">
        <v>11</v>
      </c>
      <c r="E59" t="s">
        <v>91</v>
      </c>
      <c r="F59" t="s">
        <v>78</v>
      </c>
      <c r="G59" s="2">
        <f t="shared" si="0"/>
        <v>46253</v>
      </c>
      <c r="H59" cm="1">
        <f t="array" ref="H59">D59*_xlfn.XLOOKUP(C59,Clean_Inventry_Master!A:A,Clean_Inventry_Master!E:E,NOT FOUND,0)</f>
        <v>109.89</v>
      </c>
      <c r="I59" s="2">
        <f t="shared" si="1"/>
        <v>46235</v>
      </c>
      <c r="J59" t="str">
        <f t="shared" si="2"/>
        <v>Aug 2026</v>
      </c>
    </row>
    <row r="60" spans="1:10" x14ac:dyDescent="0.3">
      <c r="A60" t="s">
        <v>198</v>
      </c>
      <c r="B60" t="s">
        <v>199</v>
      </c>
      <c r="C60" t="s">
        <v>39</v>
      </c>
      <c r="D60" s="5">
        <v>4</v>
      </c>
      <c r="E60" t="s">
        <v>91</v>
      </c>
      <c r="F60" t="s">
        <v>83</v>
      </c>
      <c r="G60" s="2">
        <f t="shared" si="0"/>
        <v>46226</v>
      </c>
      <c r="H60" cm="1">
        <f t="array" ref="H60">D60*_xlfn.XLOOKUP(C60,Clean_Inventry_Master!A:A,Clean_Inventry_Master!E:E,NOT FOUND,0)</f>
        <v>87.96</v>
      </c>
      <c r="I60" s="2">
        <f t="shared" si="1"/>
        <v>46204</v>
      </c>
      <c r="J60" t="str">
        <f t="shared" si="2"/>
        <v>Jul 2026</v>
      </c>
    </row>
    <row r="61" spans="1:10" x14ac:dyDescent="0.3">
      <c r="A61" t="s">
        <v>200</v>
      </c>
      <c r="B61" t="s">
        <v>201</v>
      </c>
      <c r="C61" t="s">
        <v>14</v>
      </c>
      <c r="D61" s="5">
        <v>7</v>
      </c>
      <c r="E61" t="s">
        <v>77</v>
      </c>
      <c r="F61" t="s">
        <v>83</v>
      </c>
      <c r="G61" s="2">
        <f t="shared" si="0"/>
        <v>46238</v>
      </c>
      <c r="H61" cm="1">
        <f t="array" ref="H61">D61*_xlfn.XLOOKUP(C61,Clean_Inventry_Master!A:A,Clean_Inventry_Master!E:E,NOT FOUND,0)</f>
        <v>245</v>
      </c>
      <c r="I61" s="2">
        <f t="shared" si="1"/>
        <v>46235</v>
      </c>
      <c r="J61" t="str">
        <f t="shared" si="2"/>
        <v>Aug 2026</v>
      </c>
    </row>
    <row r="62" spans="1:10" x14ac:dyDescent="0.3">
      <c r="A62" t="s">
        <v>202</v>
      </c>
      <c r="B62" t="s">
        <v>203</v>
      </c>
      <c r="C62" t="s">
        <v>33</v>
      </c>
      <c r="D62" s="5">
        <v>9</v>
      </c>
      <c r="E62" t="s">
        <v>77</v>
      </c>
      <c r="F62" t="s">
        <v>83</v>
      </c>
      <c r="G62" s="2">
        <f t="shared" si="0"/>
        <v>46136</v>
      </c>
      <c r="H62" cm="1">
        <f t="array" ref="H62">D62*_xlfn.XLOOKUP(C62,Clean_Inventry_Master!A:A,Clean_Inventry_Master!E:E,NOT FOUND,0)</f>
        <v>216</v>
      </c>
      <c r="I62" s="2">
        <f t="shared" si="1"/>
        <v>46113</v>
      </c>
      <c r="J62" t="str">
        <f t="shared" si="2"/>
        <v>Apr 2026</v>
      </c>
    </row>
    <row r="63" spans="1:10" x14ac:dyDescent="0.3">
      <c r="A63" t="s">
        <v>204</v>
      </c>
      <c r="B63" t="s">
        <v>205</v>
      </c>
      <c r="C63" t="s">
        <v>64</v>
      </c>
      <c r="D63" s="5">
        <v>14</v>
      </c>
      <c r="E63" t="s">
        <v>1308</v>
      </c>
      <c r="F63" t="s">
        <v>83</v>
      </c>
      <c r="G63" s="2">
        <f t="shared" si="0"/>
        <v>46124</v>
      </c>
      <c r="H63" cm="1">
        <f t="array" ref="H63">D63*_xlfn.XLOOKUP(C63,Clean_Inventry_Master!A:A,Clean_Inventry_Master!E:E,NOT FOUND,0)</f>
        <v>279.85999999999996</v>
      </c>
      <c r="I63" s="2">
        <f t="shared" si="1"/>
        <v>46113</v>
      </c>
      <c r="J63" t="str">
        <f t="shared" si="2"/>
        <v>Apr 2026</v>
      </c>
    </row>
    <row r="64" spans="1:10" x14ac:dyDescent="0.3">
      <c r="A64" t="s">
        <v>206</v>
      </c>
      <c r="B64" t="s">
        <v>145</v>
      </c>
      <c r="C64" t="s">
        <v>33</v>
      </c>
      <c r="D64" s="5">
        <v>4</v>
      </c>
      <c r="E64" t="s">
        <v>91</v>
      </c>
      <c r="F64" t="s">
        <v>92</v>
      </c>
      <c r="G64" s="2">
        <f t="shared" si="0"/>
        <v>46287</v>
      </c>
      <c r="H64" cm="1">
        <f t="array" ref="H64">D64*_xlfn.XLOOKUP(C64,Clean_Inventry_Master!A:A,Clean_Inventry_Master!E:E,NOT FOUND,0)</f>
        <v>96</v>
      </c>
      <c r="I64" s="2">
        <f t="shared" si="1"/>
        <v>46266</v>
      </c>
      <c r="J64" t="str">
        <f t="shared" si="2"/>
        <v>Sep 2026</v>
      </c>
    </row>
    <row r="65" spans="1:10" x14ac:dyDescent="0.3">
      <c r="A65" t="s">
        <v>207</v>
      </c>
      <c r="B65" t="s">
        <v>208</v>
      </c>
      <c r="C65" t="s">
        <v>58</v>
      </c>
      <c r="D65" s="5">
        <v>4</v>
      </c>
      <c r="E65" t="s">
        <v>1308</v>
      </c>
      <c r="F65" t="s">
        <v>78</v>
      </c>
      <c r="G65" s="2">
        <f t="shared" si="0"/>
        <v>46297</v>
      </c>
      <c r="H65" cm="1">
        <f t="array" ref="H65">D65*_xlfn.XLOOKUP(C65,Clean_Inventry_Master!A:A,Clean_Inventry_Master!E:E,NOT FOUND,0)</f>
        <v>239.96</v>
      </c>
      <c r="I65" s="2">
        <f t="shared" si="1"/>
        <v>46296</v>
      </c>
      <c r="J65" t="str">
        <f t="shared" si="2"/>
        <v>Oct 2026</v>
      </c>
    </row>
    <row r="66" spans="1:10" x14ac:dyDescent="0.3">
      <c r="A66" t="s">
        <v>210</v>
      </c>
      <c r="B66" t="s">
        <v>211</v>
      </c>
      <c r="C66" t="s">
        <v>31</v>
      </c>
      <c r="D66" s="5">
        <v>4</v>
      </c>
      <c r="E66" t="s">
        <v>1308</v>
      </c>
      <c r="F66" t="s">
        <v>92</v>
      </c>
      <c r="G66" s="2">
        <f t="shared" ref="G66:G129" si="3">IF(ISNUMBER(SEARCH("-", B66)), DATEVALUE(B66), DATE(RIGHT(B66,4), LEFT(B66, FIND("/", B66)-1), MID(B66, FIND("/", B66)+1, FIND("/", B66, FIND("/", B66)+1) - FIND("/", B66) - 1)))</f>
        <v>46194</v>
      </c>
      <c r="H66" cm="1">
        <f t="array" ref="H66">D66*_xlfn.XLOOKUP(C66,Clean_Inventry_Master!A:A,Clean_Inventry_Master!E:E,NOT FOUND,0)</f>
        <v>60</v>
      </c>
      <c r="I66" s="2">
        <f t="shared" ref="I66:I129" si="4">DATE(YEAR(G66),MONTH(G66),1)</f>
        <v>46174</v>
      </c>
      <c r="J66" t="str">
        <f t="shared" ref="J66:J129" si="5">TEXT(I66,"mmm yyyy")</f>
        <v>Jun 2026</v>
      </c>
    </row>
    <row r="67" spans="1:10" x14ac:dyDescent="0.3">
      <c r="A67" t="s">
        <v>212</v>
      </c>
      <c r="B67" t="s">
        <v>213</v>
      </c>
      <c r="C67" t="s">
        <v>22</v>
      </c>
      <c r="D67" s="5">
        <v>1</v>
      </c>
      <c r="E67" t="s">
        <v>77</v>
      </c>
      <c r="F67" t="s">
        <v>78</v>
      </c>
      <c r="G67" s="2">
        <f t="shared" si="3"/>
        <v>46264</v>
      </c>
      <c r="H67" cm="1">
        <f t="array" ref="H67">D67*_xlfn.XLOOKUP(C67,Clean_Inventry_Master!A:A,Clean_Inventry_Master!E:E,NOT FOUND,0)</f>
        <v>119.99</v>
      </c>
      <c r="I67" s="2">
        <f t="shared" si="4"/>
        <v>46235</v>
      </c>
      <c r="J67" t="str">
        <f t="shared" si="5"/>
        <v>Aug 2026</v>
      </c>
    </row>
    <row r="68" spans="1:10" x14ac:dyDescent="0.3">
      <c r="A68" t="s">
        <v>214</v>
      </c>
      <c r="B68" t="s">
        <v>189</v>
      </c>
      <c r="C68" t="s">
        <v>41</v>
      </c>
      <c r="D68" s="5">
        <v>5</v>
      </c>
      <c r="E68" t="s">
        <v>82</v>
      </c>
      <c r="F68" t="s">
        <v>83</v>
      </c>
      <c r="G68" s="2">
        <f t="shared" si="3"/>
        <v>46302</v>
      </c>
      <c r="H68" cm="1">
        <f t="array" ref="H68">D68*_xlfn.XLOOKUP(C68,Clean_Inventry_Master!A:A,Clean_Inventry_Master!E:E,NOT FOUND,0)</f>
        <v>199.95000000000002</v>
      </c>
      <c r="I68" s="2">
        <f t="shared" si="4"/>
        <v>46296</v>
      </c>
      <c r="J68" t="str">
        <f t="shared" si="5"/>
        <v>Oct 2026</v>
      </c>
    </row>
    <row r="69" spans="1:10" x14ac:dyDescent="0.3">
      <c r="A69" t="s">
        <v>215</v>
      </c>
      <c r="B69" t="s">
        <v>216</v>
      </c>
      <c r="C69" t="s">
        <v>43</v>
      </c>
      <c r="D69" s="5">
        <v>12</v>
      </c>
      <c r="E69" t="s">
        <v>91</v>
      </c>
      <c r="F69" t="s">
        <v>78</v>
      </c>
      <c r="G69" s="2">
        <f t="shared" si="3"/>
        <v>46222</v>
      </c>
      <c r="H69" cm="1">
        <f t="array" ref="H69">D69*_xlfn.XLOOKUP(C69,Clean_Inventry_Master!A:A,Clean_Inventry_Master!E:E,NOT FOUND,0)</f>
        <v>102</v>
      </c>
      <c r="I69" s="2">
        <f t="shared" si="4"/>
        <v>46204</v>
      </c>
      <c r="J69" t="str">
        <f t="shared" si="5"/>
        <v>Jul 2026</v>
      </c>
    </row>
    <row r="70" spans="1:10" x14ac:dyDescent="0.3">
      <c r="A70" t="s">
        <v>217</v>
      </c>
      <c r="B70" t="s">
        <v>218</v>
      </c>
      <c r="C70" t="s">
        <v>24</v>
      </c>
      <c r="D70" s="5">
        <v>9</v>
      </c>
      <c r="E70" t="s">
        <v>91</v>
      </c>
      <c r="F70" t="s">
        <v>92</v>
      </c>
      <c r="G70" s="2">
        <f t="shared" si="3"/>
        <v>46166</v>
      </c>
      <c r="H70" cm="1">
        <f t="array" ref="H70">D70*_xlfn.XLOOKUP(C70,Clean_Inventry_Master!A:A,Clean_Inventry_Master!E:E,NOT FOUND,0)</f>
        <v>1259.9100000000001</v>
      </c>
      <c r="I70" s="2">
        <f t="shared" si="4"/>
        <v>46143</v>
      </c>
      <c r="J70" t="str">
        <f t="shared" si="5"/>
        <v>May 2026</v>
      </c>
    </row>
    <row r="71" spans="1:10" x14ac:dyDescent="0.3">
      <c r="A71" t="s">
        <v>219</v>
      </c>
      <c r="B71" t="s">
        <v>220</v>
      </c>
      <c r="C71" t="s">
        <v>33</v>
      </c>
      <c r="D71" s="5">
        <v>2</v>
      </c>
      <c r="E71" t="s">
        <v>77</v>
      </c>
      <c r="F71" t="s">
        <v>83</v>
      </c>
      <c r="G71" s="2">
        <f t="shared" si="3"/>
        <v>46202</v>
      </c>
      <c r="H71" cm="1">
        <f t="array" ref="H71">D71*_xlfn.XLOOKUP(C71,Clean_Inventry_Master!A:A,Clean_Inventry_Master!E:E,NOT FOUND,0)</f>
        <v>48</v>
      </c>
      <c r="I71" s="2">
        <f t="shared" si="4"/>
        <v>46174</v>
      </c>
      <c r="J71" t="str">
        <f t="shared" si="5"/>
        <v>Jun 2026</v>
      </c>
    </row>
    <row r="72" spans="1:10" x14ac:dyDescent="0.3">
      <c r="A72" t="s">
        <v>221</v>
      </c>
      <c r="B72" t="s">
        <v>222</v>
      </c>
      <c r="C72" t="s">
        <v>68</v>
      </c>
      <c r="D72" s="5">
        <v>2</v>
      </c>
      <c r="E72" t="s">
        <v>91</v>
      </c>
      <c r="F72" t="s">
        <v>78</v>
      </c>
      <c r="G72" s="2">
        <f t="shared" si="3"/>
        <v>46228</v>
      </c>
      <c r="H72" cm="1">
        <f t="array" ref="H72">D72*_xlfn.XLOOKUP(C72,Clean_Inventry_Master!A:A,Clean_Inventry_Master!E:E,NOT FOUND,0)</f>
        <v>85</v>
      </c>
      <c r="I72" s="2">
        <f t="shared" si="4"/>
        <v>46204</v>
      </c>
      <c r="J72" t="str">
        <f t="shared" si="5"/>
        <v>Jul 2026</v>
      </c>
    </row>
    <row r="73" spans="1:10" x14ac:dyDescent="0.3">
      <c r="A73" t="s">
        <v>223</v>
      </c>
      <c r="B73" t="s">
        <v>183</v>
      </c>
      <c r="C73" t="s">
        <v>18</v>
      </c>
      <c r="D73" s="5">
        <v>7</v>
      </c>
      <c r="E73" t="s">
        <v>82</v>
      </c>
      <c r="F73" t="s">
        <v>92</v>
      </c>
      <c r="G73" s="2">
        <f t="shared" si="3"/>
        <v>46182</v>
      </c>
      <c r="H73" cm="1">
        <f t="array" ref="H73">D73*_xlfn.XLOOKUP(C73,Clean_Inventry_Master!A:A,Clean_Inventry_Master!E:E,NOT FOUND,0)</f>
        <v>489.92999999999995</v>
      </c>
      <c r="I73" s="2">
        <f t="shared" si="4"/>
        <v>46174</v>
      </c>
      <c r="J73" t="str">
        <f t="shared" si="5"/>
        <v>Jun 2026</v>
      </c>
    </row>
    <row r="74" spans="1:10" x14ac:dyDescent="0.3">
      <c r="A74" t="s">
        <v>224</v>
      </c>
      <c r="B74" t="s">
        <v>225</v>
      </c>
      <c r="C74" t="s">
        <v>62</v>
      </c>
      <c r="D74" s="5">
        <v>3</v>
      </c>
      <c r="E74" t="s">
        <v>91</v>
      </c>
      <c r="F74" t="s">
        <v>78</v>
      </c>
      <c r="G74" s="2">
        <f t="shared" si="3"/>
        <v>46146</v>
      </c>
      <c r="H74" cm="1">
        <f t="array" ref="H74">D74*_xlfn.XLOOKUP(C74,Clean_Inventry_Master!A:A,Clean_Inventry_Master!E:E,NOT FOUND,0)</f>
        <v>82.5</v>
      </c>
      <c r="I74" s="2">
        <f t="shared" si="4"/>
        <v>46143</v>
      </c>
      <c r="J74" t="str">
        <f t="shared" si="5"/>
        <v>May 2026</v>
      </c>
    </row>
    <row r="75" spans="1:10" x14ac:dyDescent="0.3">
      <c r="A75" t="s">
        <v>226</v>
      </c>
      <c r="B75" t="s">
        <v>227</v>
      </c>
      <c r="C75" t="s">
        <v>45</v>
      </c>
      <c r="D75" s="5">
        <v>8</v>
      </c>
      <c r="E75" t="s">
        <v>91</v>
      </c>
      <c r="F75" t="s">
        <v>78</v>
      </c>
      <c r="G75" s="2">
        <f t="shared" si="3"/>
        <v>46213</v>
      </c>
      <c r="H75" cm="1">
        <f t="array" ref="H75">D75*_xlfn.XLOOKUP(C75,Clean_Inventry_Master!A:A,Clean_Inventry_Master!E:E,NOT FOUND,0)</f>
        <v>151.91999999999999</v>
      </c>
      <c r="I75" s="2">
        <f t="shared" si="4"/>
        <v>46204</v>
      </c>
      <c r="J75" t="str">
        <f t="shared" si="5"/>
        <v>Jul 2026</v>
      </c>
    </row>
    <row r="76" spans="1:10" x14ac:dyDescent="0.3">
      <c r="A76" t="s">
        <v>228</v>
      </c>
      <c r="B76" t="s">
        <v>229</v>
      </c>
      <c r="C76" t="s">
        <v>35</v>
      </c>
      <c r="D76" s="5">
        <v>11</v>
      </c>
      <c r="E76" t="s">
        <v>82</v>
      </c>
      <c r="F76" t="s">
        <v>78</v>
      </c>
      <c r="G76" s="2">
        <f t="shared" si="3"/>
        <v>46269</v>
      </c>
      <c r="H76" cm="1">
        <f t="array" ref="H76">D76*_xlfn.XLOOKUP(C76,Clean_Inventry_Master!A:A,Clean_Inventry_Master!E:E,NOT FOUND,0)</f>
        <v>109.89</v>
      </c>
      <c r="I76" s="2">
        <f t="shared" si="4"/>
        <v>46266</v>
      </c>
      <c r="J76" t="str">
        <f t="shared" si="5"/>
        <v>Sep 2026</v>
      </c>
    </row>
    <row r="77" spans="1:10" x14ac:dyDescent="0.3">
      <c r="A77" t="s">
        <v>230</v>
      </c>
      <c r="B77" t="s">
        <v>157</v>
      </c>
      <c r="C77" t="s">
        <v>56</v>
      </c>
      <c r="D77" s="5">
        <v>2</v>
      </c>
      <c r="E77" t="s">
        <v>1308</v>
      </c>
      <c r="F77" t="s">
        <v>92</v>
      </c>
      <c r="G77" s="2">
        <f t="shared" si="3"/>
        <v>46233</v>
      </c>
      <c r="H77" cm="1">
        <f t="array" ref="H77">D77*_xlfn.XLOOKUP(C77,Clean_Inventry_Master!A:A,Clean_Inventry_Master!E:E,NOT FOUND,0)</f>
        <v>59.98</v>
      </c>
      <c r="I77" s="2">
        <f t="shared" si="4"/>
        <v>46204</v>
      </c>
      <c r="J77" t="str">
        <f t="shared" si="5"/>
        <v>Jul 2026</v>
      </c>
    </row>
    <row r="78" spans="1:10" x14ac:dyDescent="0.3">
      <c r="A78" t="s">
        <v>231</v>
      </c>
      <c r="B78" t="s">
        <v>232</v>
      </c>
      <c r="C78" t="s">
        <v>7</v>
      </c>
      <c r="D78" s="5">
        <v>5</v>
      </c>
      <c r="E78" t="s">
        <v>77</v>
      </c>
      <c r="F78" t="s">
        <v>83</v>
      </c>
      <c r="G78" s="2">
        <f t="shared" si="3"/>
        <v>46186</v>
      </c>
      <c r="H78" cm="1">
        <f t="array" ref="H78">D78*_xlfn.XLOOKUP(C78,Clean_Inventry_Master!A:A,Clean_Inventry_Master!E:E,NOT FOUND,0)</f>
        <v>225</v>
      </c>
      <c r="I78" s="2">
        <f t="shared" si="4"/>
        <v>46174</v>
      </c>
      <c r="J78" t="str">
        <f t="shared" si="5"/>
        <v>Jun 2026</v>
      </c>
    </row>
    <row r="79" spans="1:10" x14ac:dyDescent="0.3">
      <c r="A79" t="s">
        <v>233</v>
      </c>
      <c r="B79" t="s">
        <v>234</v>
      </c>
      <c r="C79" t="s">
        <v>45</v>
      </c>
      <c r="D79" s="5">
        <v>11</v>
      </c>
      <c r="E79" t="s">
        <v>1308</v>
      </c>
      <c r="F79" t="s">
        <v>78</v>
      </c>
      <c r="G79" s="2">
        <f t="shared" si="3"/>
        <v>46054</v>
      </c>
      <c r="H79" cm="1">
        <f t="array" ref="H79">D79*_xlfn.XLOOKUP(C79,Clean_Inventry_Master!A:A,Clean_Inventry_Master!E:E,NOT FOUND,0)</f>
        <v>208.89</v>
      </c>
      <c r="I79" s="2">
        <f t="shared" si="4"/>
        <v>46054</v>
      </c>
      <c r="J79" t="str">
        <f t="shared" si="5"/>
        <v>Feb 2026</v>
      </c>
    </row>
    <row r="80" spans="1:10" x14ac:dyDescent="0.3">
      <c r="A80" t="s">
        <v>235</v>
      </c>
      <c r="B80" t="s">
        <v>236</v>
      </c>
      <c r="C80" t="s">
        <v>35</v>
      </c>
      <c r="D80" s="5">
        <v>14</v>
      </c>
      <c r="E80" t="s">
        <v>77</v>
      </c>
      <c r="F80" t="s">
        <v>78</v>
      </c>
      <c r="G80" s="2">
        <f t="shared" si="3"/>
        <v>46110</v>
      </c>
      <c r="H80" cm="1">
        <f t="array" ref="H80">D80*_xlfn.XLOOKUP(C80,Clean_Inventry_Master!A:A,Clean_Inventry_Master!E:E,NOT FOUND,0)</f>
        <v>139.86000000000001</v>
      </c>
      <c r="I80" s="2">
        <f t="shared" si="4"/>
        <v>46082</v>
      </c>
      <c r="J80" t="str">
        <f t="shared" si="5"/>
        <v>Mar 2026</v>
      </c>
    </row>
    <row r="81" spans="1:10" x14ac:dyDescent="0.3">
      <c r="A81" t="s">
        <v>237</v>
      </c>
      <c r="B81" t="s">
        <v>238</v>
      </c>
      <c r="C81" t="s">
        <v>43</v>
      </c>
      <c r="D81" s="5">
        <v>6</v>
      </c>
      <c r="E81" t="s">
        <v>91</v>
      </c>
      <c r="F81" t="s">
        <v>83</v>
      </c>
      <c r="G81" s="2">
        <f t="shared" si="3"/>
        <v>46088</v>
      </c>
      <c r="H81" cm="1">
        <f t="array" ref="H81">D81*_xlfn.XLOOKUP(C81,Clean_Inventry_Master!A:A,Clean_Inventry_Master!E:E,NOT FOUND,0)</f>
        <v>51</v>
      </c>
      <c r="I81" s="2">
        <f t="shared" si="4"/>
        <v>46082</v>
      </c>
      <c r="J81" t="str">
        <f t="shared" si="5"/>
        <v>Mar 2026</v>
      </c>
    </row>
    <row r="82" spans="1:10" x14ac:dyDescent="0.3">
      <c r="A82" t="s">
        <v>239</v>
      </c>
      <c r="B82" t="s">
        <v>192</v>
      </c>
      <c r="C82" t="s">
        <v>24</v>
      </c>
      <c r="D82" s="5">
        <v>4</v>
      </c>
      <c r="E82" t="s">
        <v>82</v>
      </c>
      <c r="F82" t="s">
        <v>78</v>
      </c>
      <c r="G82" s="2">
        <f t="shared" si="3"/>
        <v>46224</v>
      </c>
      <c r="H82" cm="1">
        <f t="array" ref="H82">D82*_xlfn.XLOOKUP(C82,Clean_Inventry_Master!A:A,Clean_Inventry_Master!E:E,NOT FOUND,0)</f>
        <v>559.96</v>
      </c>
      <c r="I82" s="2">
        <f t="shared" si="4"/>
        <v>46204</v>
      </c>
      <c r="J82" t="str">
        <f t="shared" si="5"/>
        <v>Jul 2026</v>
      </c>
    </row>
    <row r="83" spans="1:10" x14ac:dyDescent="0.3">
      <c r="A83" t="s">
        <v>240</v>
      </c>
      <c r="B83" t="s">
        <v>241</v>
      </c>
      <c r="C83" t="s">
        <v>26</v>
      </c>
      <c r="D83" s="5">
        <v>11</v>
      </c>
      <c r="E83" t="s">
        <v>91</v>
      </c>
      <c r="F83" t="s">
        <v>83</v>
      </c>
      <c r="G83" s="2">
        <f t="shared" si="3"/>
        <v>46195</v>
      </c>
      <c r="H83" cm="1">
        <f t="array" ref="H83">D83*_xlfn.XLOOKUP(C83,Clean_Inventry_Master!A:A,Clean_Inventry_Master!E:E,NOT FOUND,0)</f>
        <v>989.89</v>
      </c>
      <c r="I83" s="2">
        <f t="shared" si="4"/>
        <v>46174</v>
      </c>
      <c r="J83" t="str">
        <f t="shared" si="5"/>
        <v>Jun 2026</v>
      </c>
    </row>
    <row r="84" spans="1:10" x14ac:dyDescent="0.3">
      <c r="A84" t="s">
        <v>242</v>
      </c>
      <c r="B84" t="s">
        <v>243</v>
      </c>
      <c r="C84" t="s">
        <v>31</v>
      </c>
      <c r="D84" s="5">
        <v>6</v>
      </c>
      <c r="E84" t="s">
        <v>1308</v>
      </c>
      <c r="F84" t="s">
        <v>92</v>
      </c>
      <c r="G84" s="2">
        <f t="shared" si="3"/>
        <v>46276</v>
      </c>
      <c r="H84" cm="1">
        <f t="array" ref="H84">D84*_xlfn.XLOOKUP(C84,Clean_Inventry_Master!A:A,Clean_Inventry_Master!E:E,NOT FOUND,0)</f>
        <v>90</v>
      </c>
      <c r="I84" s="2">
        <f t="shared" si="4"/>
        <v>46266</v>
      </c>
      <c r="J84" t="str">
        <f t="shared" si="5"/>
        <v>Sep 2026</v>
      </c>
    </row>
    <row r="85" spans="1:10" x14ac:dyDescent="0.3">
      <c r="A85" t="s">
        <v>244</v>
      </c>
      <c r="B85" t="s">
        <v>245</v>
      </c>
      <c r="C85" t="s">
        <v>64</v>
      </c>
      <c r="D85" s="5">
        <v>6</v>
      </c>
      <c r="E85" t="s">
        <v>77</v>
      </c>
      <c r="F85" t="s">
        <v>78</v>
      </c>
      <c r="G85" s="2">
        <f t="shared" si="3"/>
        <v>46053</v>
      </c>
      <c r="H85" cm="1">
        <f t="array" ref="H85">D85*_xlfn.XLOOKUP(C85,Clean_Inventry_Master!A:A,Clean_Inventry_Master!E:E,NOT FOUND,0)</f>
        <v>119.94</v>
      </c>
      <c r="I85" s="2">
        <f t="shared" si="4"/>
        <v>46023</v>
      </c>
      <c r="J85" t="str">
        <f t="shared" si="5"/>
        <v>Jan 2026</v>
      </c>
    </row>
    <row r="86" spans="1:10" x14ac:dyDescent="0.3">
      <c r="A86" t="s">
        <v>246</v>
      </c>
      <c r="B86" t="s">
        <v>183</v>
      </c>
      <c r="C86" t="s">
        <v>18</v>
      </c>
      <c r="D86" s="5">
        <v>7</v>
      </c>
      <c r="E86" t="s">
        <v>91</v>
      </c>
      <c r="F86" t="s">
        <v>92</v>
      </c>
      <c r="G86" s="2">
        <f t="shared" si="3"/>
        <v>46182</v>
      </c>
      <c r="H86" cm="1">
        <f t="array" ref="H86">D86*_xlfn.XLOOKUP(C86,Clean_Inventry_Master!A:A,Clean_Inventry_Master!E:E,NOT FOUND,0)</f>
        <v>489.92999999999995</v>
      </c>
      <c r="I86" s="2">
        <f t="shared" si="4"/>
        <v>46174</v>
      </c>
      <c r="J86" t="str">
        <f t="shared" si="5"/>
        <v>Jun 2026</v>
      </c>
    </row>
    <row r="87" spans="1:10" x14ac:dyDescent="0.3">
      <c r="A87" t="s">
        <v>247</v>
      </c>
      <c r="B87" t="s">
        <v>248</v>
      </c>
      <c r="C87" t="s">
        <v>39</v>
      </c>
      <c r="D87" s="5">
        <v>8</v>
      </c>
      <c r="E87" t="s">
        <v>1308</v>
      </c>
      <c r="F87" t="s">
        <v>78</v>
      </c>
      <c r="G87" s="2">
        <f t="shared" si="3"/>
        <v>46174</v>
      </c>
      <c r="H87" cm="1">
        <f t="array" ref="H87">D87*_xlfn.XLOOKUP(C87,Clean_Inventry_Master!A:A,Clean_Inventry_Master!E:E,NOT FOUND,0)</f>
        <v>175.92</v>
      </c>
      <c r="I87" s="2">
        <f t="shared" si="4"/>
        <v>46174</v>
      </c>
      <c r="J87" t="str">
        <f t="shared" si="5"/>
        <v>Jun 2026</v>
      </c>
    </row>
    <row r="88" spans="1:10" x14ac:dyDescent="0.3">
      <c r="A88" t="s">
        <v>249</v>
      </c>
      <c r="B88" t="s">
        <v>250</v>
      </c>
      <c r="C88" t="s">
        <v>16</v>
      </c>
      <c r="D88" s="5">
        <v>7</v>
      </c>
      <c r="E88" t="s">
        <v>91</v>
      </c>
      <c r="F88" t="s">
        <v>78</v>
      </c>
      <c r="G88" s="2">
        <f t="shared" si="3"/>
        <v>46160</v>
      </c>
      <c r="H88" cm="1">
        <f t="array" ref="H88">D88*_xlfn.XLOOKUP(C88,Clean_Inventry_Master!A:A,Clean_Inventry_Master!E:E,NOT FOUND,0)</f>
        <v>1603</v>
      </c>
      <c r="I88" s="2">
        <f t="shared" si="4"/>
        <v>46143</v>
      </c>
      <c r="J88" t="str">
        <f t="shared" si="5"/>
        <v>May 2026</v>
      </c>
    </row>
    <row r="89" spans="1:10" x14ac:dyDescent="0.3">
      <c r="A89" t="s">
        <v>251</v>
      </c>
      <c r="B89" t="s">
        <v>252</v>
      </c>
      <c r="C89" t="s">
        <v>64</v>
      </c>
      <c r="D89" s="5">
        <v>1</v>
      </c>
      <c r="E89" t="s">
        <v>82</v>
      </c>
      <c r="F89" t="s">
        <v>92</v>
      </c>
      <c r="G89" s="2">
        <f t="shared" si="3"/>
        <v>46200</v>
      </c>
      <c r="H89" cm="1">
        <f t="array" ref="H89">D89*_xlfn.XLOOKUP(C89,Clean_Inventry_Master!A:A,Clean_Inventry_Master!E:E,NOT FOUND,0)</f>
        <v>19.989999999999998</v>
      </c>
      <c r="I89" s="2">
        <f t="shared" si="4"/>
        <v>46174</v>
      </c>
      <c r="J89" t="str">
        <f t="shared" si="5"/>
        <v>Jun 2026</v>
      </c>
    </row>
    <row r="90" spans="1:10" x14ac:dyDescent="0.3">
      <c r="A90" t="s">
        <v>254</v>
      </c>
      <c r="B90" t="s">
        <v>255</v>
      </c>
      <c r="C90" t="s">
        <v>43</v>
      </c>
      <c r="D90" s="5">
        <v>1</v>
      </c>
      <c r="E90" t="s">
        <v>82</v>
      </c>
      <c r="F90" t="s">
        <v>92</v>
      </c>
      <c r="G90" s="2">
        <f t="shared" si="3"/>
        <v>46030</v>
      </c>
      <c r="H90" cm="1">
        <f t="array" ref="H90">D90*_xlfn.XLOOKUP(C90,Clean_Inventry_Master!A:A,Clean_Inventry_Master!E:E,NOT FOUND,0)</f>
        <v>8.5</v>
      </c>
      <c r="I90" s="2">
        <f t="shared" si="4"/>
        <v>46023</v>
      </c>
      <c r="J90" t="str">
        <f t="shared" si="5"/>
        <v>Jan 2026</v>
      </c>
    </row>
    <row r="91" spans="1:10" x14ac:dyDescent="0.3">
      <c r="A91" t="s">
        <v>256</v>
      </c>
      <c r="B91" t="s">
        <v>257</v>
      </c>
      <c r="C91" t="s">
        <v>33</v>
      </c>
      <c r="D91" s="5">
        <v>3</v>
      </c>
      <c r="E91" t="s">
        <v>77</v>
      </c>
      <c r="F91" t="s">
        <v>83</v>
      </c>
      <c r="G91" s="2">
        <f t="shared" si="3"/>
        <v>46176</v>
      </c>
      <c r="H91" cm="1">
        <f t="array" ref="H91">D91*_xlfn.XLOOKUP(C91,Clean_Inventry_Master!A:A,Clean_Inventry_Master!E:E,NOT FOUND,0)</f>
        <v>72</v>
      </c>
      <c r="I91" s="2">
        <f t="shared" si="4"/>
        <v>46174</v>
      </c>
      <c r="J91" t="str">
        <f t="shared" si="5"/>
        <v>Jun 2026</v>
      </c>
    </row>
    <row r="92" spans="1:10" x14ac:dyDescent="0.3">
      <c r="A92" t="s">
        <v>258</v>
      </c>
      <c r="B92" t="s">
        <v>259</v>
      </c>
      <c r="C92" t="s">
        <v>62</v>
      </c>
      <c r="D92" s="5">
        <v>5</v>
      </c>
      <c r="E92" t="s">
        <v>77</v>
      </c>
      <c r="F92" t="s">
        <v>92</v>
      </c>
      <c r="G92" s="2">
        <f t="shared" si="3"/>
        <v>46097</v>
      </c>
      <c r="H92" cm="1">
        <f t="array" ref="H92">D92*_xlfn.XLOOKUP(C92,Clean_Inventry_Master!A:A,Clean_Inventry_Master!E:E,NOT FOUND,0)</f>
        <v>137.5</v>
      </c>
      <c r="I92" s="2">
        <f t="shared" si="4"/>
        <v>46082</v>
      </c>
      <c r="J92" t="str">
        <f t="shared" si="5"/>
        <v>Mar 2026</v>
      </c>
    </row>
    <row r="93" spans="1:10" x14ac:dyDescent="0.3">
      <c r="A93" t="s">
        <v>260</v>
      </c>
      <c r="B93" t="s">
        <v>171</v>
      </c>
      <c r="C93" t="s">
        <v>66</v>
      </c>
      <c r="D93" s="5">
        <v>4</v>
      </c>
      <c r="E93" t="s">
        <v>91</v>
      </c>
      <c r="F93" t="s">
        <v>92</v>
      </c>
      <c r="G93" s="2">
        <f t="shared" si="3"/>
        <v>46139</v>
      </c>
      <c r="H93" cm="1">
        <f t="array" ref="H93">D93*_xlfn.XLOOKUP(C93,Clean_Inventry_Master!A:A,Clean_Inventry_Master!E:E,NOT FOUND,0)</f>
        <v>139.96</v>
      </c>
      <c r="I93" s="2">
        <f t="shared" si="4"/>
        <v>46113</v>
      </c>
      <c r="J93" t="str">
        <f t="shared" si="5"/>
        <v>Apr 2026</v>
      </c>
    </row>
    <row r="94" spans="1:10" x14ac:dyDescent="0.3">
      <c r="A94" t="s">
        <v>261</v>
      </c>
      <c r="B94" t="s">
        <v>262</v>
      </c>
      <c r="C94" t="s">
        <v>66</v>
      </c>
      <c r="D94" s="5">
        <v>1</v>
      </c>
      <c r="E94" t="s">
        <v>82</v>
      </c>
      <c r="F94" t="s">
        <v>92</v>
      </c>
      <c r="G94" s="2">
        <f t="shared" si="3"/>
        <v>46292</v>
      </c>
      <c r="H94" cm="1">
        <f t="array" ref="H94">D94*_xlfn.XLOOKUP(C94,Clean_Inventry_Master!A:A,Clean_Inventry_Master!E:E,NOT FOUND,0)</f>
        <v>34.99</v>
      </c>
      <c r="I94" s="2">
        <f t="shared" si="4"/>
        <v>46266</v>
      </c>
      <c r="J94" t="str">
        <f t="shared" si="5"/>
        <v>Sep 2026</v>
      </c>
    </row>
    <row r="95" spans="1:10" x14ac:dyDescent="0.3">
      <c r="A95" t="s">
        <v>263</v>
      </c>
      <c r="B95" t="s">
        <v>264</v>
      </c>
      <c r="C95" t="s">
        <v>37</v>
      </c>
      <c r="D95" s="5">
        <v>13</v>
      </c>
      <c r="E95" t="s">
        <v>91</v>
      </c>
      <c r="F95" t="s">
        <v>78</v>
      </c>
      <c r="G95" s="2">
        <f t="shared" si="3"/>
        <v>46164</v>
      </c>
      <c r="H95" cm="1">
        <f t="array" ref="H95">D95*_xlfn.XLOOKUP(C95,Clean_Inventry_Master!A:A,Clean_Inventry_Master!E:E,NOT FOUND,0)</f>
        <v>585</v>
      </c>
      <c r="I95" s="2">
        <f t="shared" si="4"/>
        <v>46143</v>
      </c>
      <c r="J95" t="str">
        <f t="shared" si="5"/>
        <v>May 2026</v>
      </c>
    </row>
    <row r="96" spans="1:10" x14ac:dyDescent="0.3">
      <c r="A96" t="s">
        <v>265</v>
      </c>
      <c r="B96" t="s">
        <v>266</v>
      </c>
      <c r="C96" t="s">
        <v>7</v>
      </c>
      <c r="D96" s="5">
        <v>7</v>
      </c>
      <c r="E96" t="s">
        <v>91</v>
      </c>
      <c r="F96" t="s">
        <v>92</v>
      </c>
      <c r="G96" s="2">
        <f t="shared" si="3"/>
        <v>46238</v>
      </c>
      <c r="H96" cm="1">
        <f t="array" ref="H96">D96*_xlfn.XLOOKUP(C96,Clean_Inventry_Master!A:A,Clean_Inventry_Master!E:E,NOT FOUND,0)</f>
        <v>315</v>
      </c>
      <c r="I96" s="2">
        <f t="shared" si="4"/>
        <v>46235</v>
      </c>
      <c r="J96" t="str">
        <f t="shared" si="5"/>
        <v>Aug 2026</v>
      </c>
    </row>
    <row r="97" spans="1:10" x14ac:dyDescent="0.3">
      <c r="A97" t="s">
        <v>267</v>
      </c>
      <c r="B97" t="s">
        <v>132</v>
      </c>
      <c r="C97" t="s">
        <v>16</v>
      </c>
      <c r="D97" s="5">
        <v>5</v>
      </c>
      <c r="E97" t="s">
        <v>91</v>
      </c>
      <c r="F97" t="s">
        <v>83</v>
      </c>
      <c r="G97" s="2">
        <f t="shared" si="3"/>
        <v>46094</v>
      </c>
      <c r="H97" cm="1">
        <f t="array" ref="H97">D97*_xlfn.XLOOKUP(C97,Clean_Inventry_Master!A:A,Clean_Inventry_Master!E:E,NOT FOUND,0)</f>
        <v>1145</v>
      </c>
      <c r="I97" s="2">
        <f t="shared" si="4"/>
        <v>46082</v>
      </c>
      <c r="J97" t="str">
        <f t="shared" si="5"/>
        <v>Mar 2026</v>
      </c>
    </row>
    <row r="98" spans="1:10" x14ac:dyDescent="0.3">
      <c r="A98" t="s">
        <v>268</v>
      </c>
      <c r="B98" t="s">
        <v>269</v>
      </c>
      <c r="C98" t="s">
        <v>52</v>
      </c>
      <c r="D98" s="5">
        <v>10</v>
      </c>
      <c r="E98" t="s">
        <v>77</v>
      </c>
      <c r="F98" t="s">
        <v>83</v>
      </c>
      <c r="G98" s="2">
        <f t="shared" si="3"/>
        <v>46128</v>
      </c>
      <c r="H98" cm="1">
        <f t="array" ref="H98">D98*_xlfn.XLOOKUP(C98,Clean_Inventry_Master!A:A,Clean_Inventry_Master!E:E,NOT FOUND,0)</f>
        <v>299.89999999999998</v>
      </c>
      <c r="I98" s="2">
        <f t="shared" si="4"/>
        <v>46113</v>
      </c>
      <c r="J98" t="str">
        <f t="shared" si="5"/>
        <v>Apr 2026</v>
      </c>
    </row>
    <row r="99" spans="1:10" x14ac:dyDescent="0.3">
      <c r="A99" t="s">
        <v>270</v>
      </c>
      <c r="B99" t="s">
        <v>255</v>
      </c>
      <c r="C99" t="s">
        <v>64</v>
      </c>
      <c r="D99" s="5">
        <v>10</v>
      </c>
      <c r="E99" t="s">
        <v>1308</v>
      </c>
      <c r="F99" t="s">
        <v>78</v>
      </c>
      <c r="G99" s="2">
        <f t="shared" si="3"/>
        <v>46030</v>
      </c>
      <c r="H99" cm="1">
        <f t="array" ref="H99">D99*_xlfn.XLOOKUP(C99,Clean_Inventry_Master!A:A,Clean_Inventry_Master!E:E,NOT FOUND,0)</f>
        <v>199.89999999999998</v>
      </c>
      <c r="I99" s="2">
        <f t="shared" si="4"/>
        <v>46023</v>
      </c>
      <c r="J99" t="str">
        <f t="shared" si="5"/>
        <v>Jan 2026</v>
      </c>
    </row>
    <row r="100" spans="1:10" x14ac:dyDescent="0.3">
      <c r="A100" t="s">
        <v>271</v>
      </c>
      <c r="B100" t="s">
        <v>272</v>
      </c>
      <c r="C100" t="s">
        <v>33</v>
      </c>
      <c r="D100" s="5">
        <v>9</v>
      </c>
      <c r="E100" t="s">
        <v>77</v>
      </c>
      <c r="F100" t="s">
        <v>92</v>
      </c>
      <c r="G100" s="2">
        <f t="shared" si="3"/>
        <v>46288</v>
      </c>
      <c r="H100" cm="1">
        <f t="array" ref="H100">D100*_xlfn.XLOOKUP(C100,Clean_Inventry_Master!A:A,Clean_Inventry_Master!E:E,NOT FOUND,0)</f>
        <v>216</v>
      </c>
      <c r="I100" s="2">
        <f t="shared" si="4"/>
        <v>46266</v>
      </c>
      <c r="J100" t="str">
        <f t="shared" si="5"/>
        <v>Sep 2026</v>
      </c>
    </row>
    <row r="101" spans="1:10" x14ac:dyDescent="0.3">
      <c r="A101" t="s">
        <v>273</v>
      </c>
      <c r="B101" t="s">
        <v>274</v>
      </c>
      <c r="C101" t="s">
        <v>16</v>
      </c>
      <c r="D101" s="5">
        <v>8</v>
      </c>
      <c r="E101" t="s">
        <v>91</v>
      </c>
      <c r="F101" t="s">
        <v>92</v>
      </c>
      <c r="G101" s="2">
        <f t="shared" si="3"/>
        <v>46299</v>
      </c>
      <c r="H101" cm="1">
        <f t="array" ref="H101">D101*_xlfn.XLOOKUP(C101,Clean_Inventry_Master!A:A,Clean_Inventry_Master!E:E,NOT FOUND,0)</f>
        <v>1832</v>
      </c>
      <c r="I101" s="2">
        <f t="shared" si="4"/>
        <v>46296</v>
      </c>
      <c r="J101" t="str">
        <f t="shared" si="5"/>
        <v>Oct 2026</v>
      </c>
    </row>
    <row r="102" spans="1:10" x14ac:dyDescent="0.3">
      <c r="A102" t="s">
        <v>275</v>
      </c>
      <c r="B102" t="s">
        <v>276</v>
      </c>
      <c r="C102" t="s">
        <v>20</v>
      </c>
      <c r="D102" s="5">
        <v>11</v>
      </c>
      <c r="E102" t="s">
        <v>1308</v>
      </c>
      <c r="F102" t="s">
        <v>83</v>
      </c>
      <c r="G102" s="2">
        <f t="shared" si="3"/>
        <v>46069</v>
      </c>
      <c r="H102" cm="1">
        <f t="array" ref="H102">D102*_xlfn.XLOOKUP(C102,Clean_Inventry_Master!A:A,Clean_Inventry_Master!E:E,NOT FOUND,0)</f>
        <v>879.89</v>
      </c>
      <c r="I102" s="2">
        <f t="shared" si="4"/>
        <v>46054</v>
      </c>
      <c r="J102" t="str">
        <f t="shared" si="5"/>
        <v>Feb 2026</v>
      </c>
    </row>
    <row r="103" spans="1:10" x14ac:dyDescent="0.3">
      <c r="A103" t="s">
        <v>277</v>
      </c>
      <c r="B103" t="s">
        <v>278</v>
      </c>
      <c r="C103" t="s">
        <v>66</v>
      </c>
      <c r="D103" s="5">
        <v>11</v>
      </c>
      <c r="E103" t="s">
        <v>77</v>
      </c>
      <c r="F103" t="s">
        <v>78</v>
      </c>
      <c r="G103" s="2">
        <f t="shared" si="3"/>
        <v>46256</v>
      </c>
      <c r="H103" cm="1">
        <f t="array" ref="H103">D103*_xlfn.XLOOKUP(C103,Clean_Inventry_Master!A:A,Clean_Inventry_Master!E:E,NOT FOUND,0)</f>
        <v>384.89000000000004</v>
      </c>
      <c r="I103" s="2">
        <f t="shared" si="4"/>
        <v>46235</v>
      </c>
      <c r="J103" t="str">
        <f t="shared" si="5"/>
        <v>Aug 2026</v>
      </c>
    </row>
    <row r="104" spans="1:10" x14ac:dyDescent="0.3">
      <c r="A104" t="s">
        <v>279</v>
      </c>
      <c r="B104" t="s">
        <v>280</v>
      </c>
      <c r="C104" t="s">
        <v>24</v>
      </c>
      <c r="D104" s="5">
        <v>5</v>
      </c>
      <c r="E104" t="s">
        <v>82</v>
      </c>
      <c r="F104" t="s">
        <v>92</v>
      </c>
      <c r="G104" s="2">
        <f t="shared" si="3"/>
        <v>46064</v>
      </c>
      <c r="H104" cm="1">
        <f t="array" ref="H104">D104*_xlfn.XLOOKUP(C104,Clean_Inventry_Master!A:A,Clean_Inventry_Master!E:E,NOT FOUND,0)</f>
        <v>699.95</v>
      </c>
      <c r="I104" s="2">
        <f t="shared" si="4"/>
        <v>46054</v>
      </c>
      <c r="J104" t="str">
        <f t="shared" si="5"/>
        <v>Feb 2026</v>
      </c>
    </row>
    <row r="105" spans="1:10" x14ac:dyDescent="0.3">
      <c r="A105" t="s">
        <v>281</v>
      </c>
      <c r="B105" t="s">
        <v>282</v>
      </c>
      <c r="C105" t="s">
        <v>39</v>
      </c>
      <c r="D105" s="5">
        <v>4</v>
      </c>
      <c r="E105" t="s">
        <v>1308</v>
      </c>
      <c r="F105" t="s">
        <v>78</v>
      </c>
      <c r="G105" s="2">
        <f t="shared" si="3"/>
        <v>46167</v>
      </c>
      <c r="H105" cm="1">
        <f t="array" ref="H105">D105*_xlfn.XLOOKUP(C105,Clean_Inventry_Master!A:A,Clean_Inventry_Master!E:E,NOT FOUND,0)</f>
        <v>87.96</v>
      </c>
      <c r="I105" s="2">
        <f t="shared" si="4"/>
        <v>46143</v>
      </c>
      <c r="J105" t="str">
        <f t="shared" si="5"/>
        <v>May 2026</v>
      </c>
    </row>
    <row r="106" spans="1:10" x14ac:dyDescent="0.3">
      <c r="A106" t="s">
        <v>283</v>
      </c>
      <c r="B106" t="s">
        <v>201</v>
      </c>
      <c r="C106" t="s">
        <v>10</v>
      </c>
      <c r="D106" s="5">
        <v>13</v>
      </c>
      <c r="E106" t="s">
        <v>77</v>
      </c>
      <c r="F106" t="s">
        <v>78</v>
      </c>
      <c r="G106" s="2">
        <f t="shared" si="3"/>
        <v>46238</v>
      </c>
      <c r="H106" cm="1">
        <f t="array" ref="H106">D106*_xlfn.XLOOKUP(C106,Clean_Inventry_Master!A:A,Clean_Inventry_Master!E:E,NOT FOUND,0)</f>
        <v>6487</v>
      </c>
      <c r="I106" s="2">
        <f t="shared" si="4"/>
        <v>46235</v>
      </c>
      <c r="J106" t="str">
        <f t="shared" si="5"/>
        <v>Aug 2026</v>
      </c>
    </row>
    <row r="107" spans="1:10" x14ac:dyDescent="0.3">
      <c r="A107" t="s">
        <v>285</v>
      </c>
      <c r="B107" t="s">
        <v>286</v>
      </c>
      <c r="C107" t="s">
        <v>62</v>
      </c>
      <c r="D107" s="5">
        <v>5</v>
      </c>
      <c r="E107" t="s">
        <v>91</v>
      </c>
      <c r="F107" t="s">
        <v>92</v>
      </c>
      <c r="G107" s="2">
        <f t="shared" si="3"/>
        <v>46230</v>
      </c>
      <c r="H107" cm="1">
        <f t="array" ref="H107">D107*_xlfn.XLOOKUP(C107,Clean_Inventry_Master!A:A,Clean_Inventry_Master!E:E,NOT FOUND,0)</f>
        <v>137.5</v>
      </c>
      <c r="I107" s="2">
        <f t="shared" si="4"/>
        <v>46204</v>
      </c>
      <c r="J107" t="str">
        <f t="shared" si="5"/>
        <v>Jul 2026</v>
      </c>
    </row>
    <row r="108" spans="1:10" x14ac:dyDescent="0.3">
      <c r="A108" t="s">
        <v>287</v>
      </c>
      <c r="B108" t="s">
        <v>288</v>
      </c>
      <c r="C108" t="s">
        <v>20</v>
      </c>
      <c r="D108" s="5">
        <v>10</v>
      </c>
      <c r="E108" t="s">
        <v>91</v>
      </c>
      <c r="F108" t="s">
        <v>78</v>
      </c>
      <c r="G108" s="2">
        <f t="shared" si="3"/>
        <v>46210</v>
      </c>
      <c r="H108" cm="1">
        <f t="array" ref="H108">D108*_xlfn.XLOOKUP(C108,Clean_Inventry_Master!A:A,Clean_Inventry_Master!E:E,NOT FOUND,0)</f>
        <v>799.9</v>
      </c>
      <c r="I108" s="2">
        <f t="shared" si="4"/>
        <v>46204</v>
      </c>
      <c r="J108" t="str">
        <f t="shared" si="5"/>
        <v>Jul 2026</v>
      </c>
    </row>
    <row r="109" spans="1:10" x14ac:dyDescent="0.3">
      <c r="A109" t="s">
        <v>289</v>
      </c>
      <c r="B109" t="s">
        <v>290</v>
      </c>
      <c r="C109" t="s">
        <v>66</v>
      </c>
      <c r="D109" s="5">
        <v>4</v>
      </c>
      <c r="E109" t="s">
        <v>91</v>
      </c>
      <c r="F109" t="s">
        <v>78</v>
      </c>
      <c r="G109" s="2">
        <f t="shared" si="3"/>
        <v>46237</v>
      </c>
      <c r="H109" cm="1">
        <f t="array" ref="H109">D109*_xlfn.XLOOKUP(C109,Clean_Inventry_Master!A:A,Clean_Inventry_Master!E:E,NOT FOUND,0)</f>
        <v>139.96</v>
      </c>
      <c r="I109" s="2">
        <f t="shared" si="4"/>
        <v>46235</v>
      </c>
      <c r="J109" t="str">
        <f t="shared" si="5"/>
        <v>Aug 2026</v>
      </c>
    </row>
    <row r="110" spans="1:10" x14ac:dyDescent="0.3">
      <c r="A110" t="s">
        <v>291</v>
      </c>
      <c r="B110" t="s">
        <v>292</v>
      </c>
      <c r="C110" t="s">
        <v>33</v>
      </c>
      <c r="D110" s="5">
        <v>9</v>
      </c>
      <c r="E110" t="s">
        <v>77</v>
      </c>
      <c r="F110" t="s">
        <v>83</v>
      </c>
      <c r="G110" s="2">
        <f t="shared" si="3"/>
        <v>46286</v>
      </c>
      <c r="H110" cm="1">
        <f t="array" ref="H110">D110*_xlfn.XLOOKUP(C110,Clean_Inventry_Master!A:A,Clean_Inventry_Master!E:E,NOT FOUND,0)</f>
        <v>216</v>
      </c>
      <c r="I110" s="2">
        <f t="shared" si="4"/>
        <v>46266</v>
      </c>
      <c r="J110" t="str">
        <f t="shared" si="5"/>
        <v>Sep 2026</v>
      </c>
    </row>
    <row r="111" spans="1:10" x14ac:dyDescent="0.3">
      <c r="A111" t="s">
        <v>293</v>
      </c>
      <c r="B111" t="s">
        <v>294</v>
      </c>
      <c r="C111" t="s">
        <v>10</v>
      </c>
      <c r="D111" s="5">
        <v>10</v>
      </c>
      <c r="E111" t="s">
        <v>91</v>
      </c>
      <c r="F111" t="s">
        <v>92</v>
      </c>
      <c r="G111" s="2">
        <f t="shared" si="3"/>
        <v>46122</v>
      </c>
      <c r="H111" cm="1">
        <f t="array" ref="H111">D111*_xlfn.XLOOKUP(C111,Clean_Inventry_Master!A:A,Clean_Inventry_Master!E:E,NOT FOUND,0)</f>
        <v>4990</v>
      </c>
      <c r="I111" s="2">
        <f t="shared" si="4"/>
        <v>46113</v>
      </c>
      <c r="J111" t="str">
        <f t="shared" si="5"/>
        <v>Apr 2026</v>
      </c>
    </row>
    <row r="112" spans="1:10" x14ac:dyDescent="0.3">
      <c r="A112" t="s">
        <v>295</v>
      </c>
      <c r="B112" t="s">
        <v>296</v>
      </c>
      <c r="C112" t="s">
        <v>60</v>
      </c>
      <c r="D112" s="5">
        <v>8</v>
      </c>
      <c r="E112" t="s">
        <v>82</v>
      </c>
      <c r="F112" t="s">
        <v>78</v>
      </c>
      <c r="G112" s="2">
        <f t="shared" si="3"/>
        <v>46050</v>
      </c>
      <c r="H112" cm="1">
        <f t="array" ref="H112">D112*_xlfn.XLOOKUP(C112,Clean_Inventry_Master!A:A,Clean_Inventry_Master!E:E,NOT FOUND,0)</f>
        <v>719.92</v>
      </c>
      <c r="I112" s="2">
        <f t="shared" si="4"/>
        <v>46023</v>
      </c>
      <c r="J112" t="str">
        <f t="shared" si="5"/>
        <v>Jan 2026</v>
      </c>
    </row>
    <row r="113" spans="1:10" x14ac:dyDescent="0.3">
      <c r="A113" t="s">
        <v>297</v>
      </c>
      <c r="B113" t="s">
        <v>298</v>
      </c>
      <c r="C113" t="s">
        <v>24</v>
      </c>
      <c r="D113" s="5">
        <v>3</v>
      </c>
      <c r="E113" t="s">
        <v>77</v>
      </c>
      <c r="F113" t="s">
        <v>83</v>
      </c>
      <c r="G113" s="2">
        <f t="shared" si="3"/>
        <v>46296</v>
      </c>
      <c r="H113" cm="1">
        <f t="array" ref="H113">D113*_xlfn.XLOOKUP(C113,Clean_Inventry_Master!A:A,Clean_Inventry_Master!E:E,NOT FOUND,0)</f>
        <v>419.97</v>
      </c>
      <c r="I113" s="2">
        <f t="shared" si="4"/>
        <v>46296</v>
      </c>
      <c r="J113" t="str">
        <f t="shared" si="5"/>
        <v>Oct 2026</v>
      </c>
    </row>
    <row r="114" spans="1:10" x14ac:dyDescent="0.3">
      <c r="A114" t="s">
        <v>299</v>
      </c>
      <c r="B114" t="s">
        <v>300</v>
      </c>
      <c r="C114" t="s">
        <v>60</v>
      </c>
      <c r="D114" s="5">
        <v>14</v>
      </c>
      <c r="E114" t="s">
        <v>82</v>
      </c>
      <c r="F114" t="s">
        <v>78</v>
      </c>
      <c r="G114" s="2">
        <f t="shared" si="3"/>
        <v>46039</v>
      </c>
      <c r="H114" cm="1">
        <f t="array" ref="H114">D114*_xlfn.XLOOKUP(C114,Clean_Inventry_Master!A:A,Clean_Inventry_Master!E:E,NOT FOUND,0)</f>
        <v>1259.8599999999999</v>
      </c>
      <c r="I114" s="2">
        <f t="shared" si="4"/>
        <v>46023</v>
      </c>
      <c r="J114" t="str">
        <f t="shared" si="5"/>
        <v>Jan 2026</v>
      </c>
    </row>
    <row r="115" spans="1:10" x14ac:dyDescent="0.3">
      <c r="A115" t="s">
        <v>301</v>
      </c>
      <c r="B115" t="s">
        <v>302</v>
      </c>
      <c r="C115" t="s">
        <v>18</v>
      </c>
      <c r="D115" s="5">
        <v>6</v>
      </c>
      <c r="E115" t="s">
        <v>91</v>
      </c>
      <c r="F115" t="s">
        <v>92</v>
      </c>
      <c r="G115" s="2">
        <f t="shared" si="3"/>
        <v>46157</v>
      </c>
      <c r="H115" cm="1">
        <f t="array" ref="H115">D115*_xlfn.XLOOKUP(C115,Clean_Inventry_Master!A:A,Clean_Inventry_Master!E:E,NOT FOUND,0)</f>
        <v>419.93999999999994</v>
      </c>
      <c r="I115" s="2">
        <f t="shared" si="4"/>
        <v>46143</v>
      </c>
      <c r="J115" t="str">
        <f t="shared" si="5"/>
        <v>May 2026</v>
      </c>
    </row>
    <row r="116" spans="1:10" x14ac:dyDescent="0.3">
      <c r="A116" t="s">
        <v>303</v>
      </c>
      <c r="B116" t="s">
        <v>304</v>
      </c>
      <c r="C116" t="s">
        <v>10</v>
      </c>
      <c r="D116" s="5">
        <v>10</v>
      </c>
      <c r="E116" t="s">
        <v>91</v>
      </c>
      <c r="F116" t="s">
        <v>83</v>
      </c>
      <c r="G116" s="2">
        <f t="shared" si="3"/>
        <v>46081</v>
      </c>
      <c r="H116" cm="1">
        <f t="array" ref="H116">D116*_xlfn.XLOOKUP(C116,Clean_Inventry_Master!A:A,Clean_Inventry_Master!E:E,NOT FOUND,0)</f>
        <v>4990</v>
      </c>
      <c r="I116" s="2">
        <f t="shared" si="4"/>
        <v>46054</v>
      </c>
      <c r="J116" t="str">
        <f t="shared" si="5"/>
        <v>Feb 2026</v>
      </c>
    </row>
    <row r="117" spans="1:10" x14ac:dyDescent="0.3">
      <c r="A117" t="s">
        <v>305</v>
      </c>
      <c r="B117" t="s">
        <v>306</v>
      </c>
      <c r="C117" t="s">
        <v>31</v>
      </c>
      <c r="D117" s="5">
        <v>2</v>
      </c>
      <c r="E117" t="s">
        <v>77</v>
      </c>
      <c r="F117" t="s">
        <v>78</v>
      </c>
      <c r="G117" s="2">
        <f t="shared" si="3"/>
        <v>46027</v>
      </c>
      <c r="H117" cm="1">
        <f t="array" ref="H117">D117*_xlfn.XLOOKUP(C117,Clean_Inventry_Master!A:A,Clean_Inventry_Master!E:E,NOT FOUND,0)</f>
        <v>30</v>
      </c>
      <c r="I117" s="2">
        <f t="shared" si="4"/>
        <v>46023</v>
      </c>
      <c r="J117" t="str">
        <f t="shared" si="5"/>
        <v>Jan 2026</v>
      </c>
    </row>
    <row r="118" spans="1:10" x14ac:dyDescent="0.3">
      <c r="A118" t="s">
        <v>308</v>
      </c>
      <c r="B118" t="s">
        <v>309</v>
      </c>
      <c r="C118" t="s">
        <v>26</v>
      </c>
      <c r="D118" s="5">
        <v>14</v>
      </c>
      <c r="E118" t="s">
        <v>91</v>
      </c>
      <c r="F118" t="s">
        <v>78</v>
      </c>
      <c r="G118" s="2">
        <f t="shared" si="3"/>
        <v>46178</v>
      </c>
      <c r="H118" cm="1">
        <f t="array" ref="H118">D118*_xlfn.XLOOKUP(C118,Clean_Inventry_Master!A:A,Clean_Inventry_Master!E:E,NOT FOUND,0)</f>
        <v>1259.8599999999999</v>
      </c>
      <c r="I118" s="2">
        <f t="shared" si="4"/>
        <v>46174</v>
      </c>
      <c r="J118" t="str">
        <f t="shared" si="5"/>
        <v>Jun 2026</v>
      </c>
    </row>
    <row r="119" spans="1:10" x14ac:dyDescent="0.3">
      <c r="A119" t="s">
        <v>310</v>
      </c>
      <c r="B119" t="s">
        <v>311</v>
      </c>
      <c r="C119" t="s">
        <v>35</v>
      </c>
      <c r="D119" s="5">
        <v>9</v>
      </c>
      <c r="E119" t="s">
        <v>1308</v>
      </c>
      <c r="F119" t="s">
        <v>78</v>
      </c>
      <c r="G119" s="2">
        <f t="shared" si="3"/>
        <v>46061</v>
      </c>
      <c r="H119" cm="1">
        <f t="array" ref="H119">D119*_xlfn.XLOOKUP(C119,Clean_Inventry_Master!A:A,Clean_Inventry_Master!E:E,NOT FOUND,0)</f>
        <v>89.91</v>
      </c>
      <c r="I119" s="2">
        <f t="shared" si="4"/>
        <v>46054</v>
      </c>
      <c r="J119" t="str">
        <f t="shared" si="5"/>
        <v>Feb 2026</v>
      </c>
    </row>
    <row r="120" spans="1:10" x14ac:dyDescent="0.3">
      <c r="A120" t="s">
        <v>312</v>
      </c>
      <c r="B120" t="s">
        <v>313</v>
      </c>
      <c r="C120" t="s">
        <v>54</v>
      </c>
      <c r="D120" s="5">
        <v>10</v>
      </c>
      <c r="E120" t="s">
        <v>77</v>
      </c>
      <c r="F120" t="s">
        <v>78</v>
      </c>
      <c r="G120" s="2">
        <f t="shared" si="3"/>
        <v>46177</v>
      </c>
      <c r="H120" cm="1">
        <f t="array" ref="H120">D120*_xlfn.XLOOKUP(C120,Clean_Inventry_Master!A:A,Clean_Inventry_Master!E:E,NOT FOUND,0)</f>
        <v>3499.9</v>
      </c>
      <c r="I120" s="2">
        <f t="shared" si="4"/>
        <v>46174</v>
      </c>
      <c r="J120" t="str">
        <f t="shared" si="5"/>
        <v>Jun 2026</v>
      </c>
    </row>
    <row r="121" spans="1:10" x14ac:dyDescent="0.3">
      <c r="A121" t="s">
        <v>314</v>
      </c>
      <c r="B121" t="s">
        <v>128</v>
      </c>
      <c r="C121" t="s">
        <v>66</v>
      </c>
      <c r="D121" s="5">
        <v>4</v>
      </c>
      <c r="E121" t="s">
        <v>91</v>
      </c>
      <c r="F121" t="s">
        <v>92</v>
      </c>
      <c r="G121" s="2">
        <f t="shared" si="3"/>
        <v>46063</v>
      </c>
      <c r="H121" cm="1">
        <f t="array" ref="H121">D121*_xlfn.XLOOKUP(C121,Clean_Inventry_Master!A:A,Clean_Inventry_Master!E:E,NOT FOUND,0)</f>
        <v>139.96</v>
      </c>
      <c r="I121" s="2">
        <f t="shared" si="4"/>
        <v>46054</v>
      </c>
      <c r="J121" t="str">
        <f t="shared" si="5"/>
        <v>Feb 2026</v>
      </c>
    </row>
    <row r="122" spans="1:10" x14ac:dyDescent="0.3">
      <c r="A122" t="s">
        <v>315</v>
      </c>
      <c r="B122" t="s">
        <v>128</v>
      </c>
      <c r="C122" t="s">
        <v>24</v>
      </c>
      <c r="D122" s="5">
        <v>5</v>
      </c>
      <c r="E122" t="s">
        <v>1308</v>
      </c>
      <c r="F122" t="s">
        <v>92</v>
      </c>
      <c r="G122" s="2">
        <f t="shared" si="3"/>
        <v>46063</v>
      </c>
      <c r="H122" cm="1">
        <f t="array" ref="H122">D122*_xlfn.XLOOKUP(C122,Clean_Inventry_Master!A:A,Clean_Inventry_Master!E:E,NOT FOUND,0)</f>
        <v>699.95</v>
      </c>
      <c r="I122" s="2">
        <f t="shared" si="4"/>
        <v>46054</v>
      </c>
      <c r="J122" t="str">
        <f t="shared" si="5"/>
        <v>Feb 2026</v>
      </c>
    </row>
    <row r="123" spans="1:10" x14ac:dyDescent="0.3">
      <c r="A123" t="s">
        <v>316</v>
      </c>
      <c r="B123" t="s">
        <v>134</v>
      </c>
      <c r="C123" t="s">
        <v>28</v>
      </c>
      <c r="D123" s="5">
        <v>14</v>
      </c>
      <c r="E123" t="s">
        <v>82</v>
      </c>
      <c r="F123" t="s">
        <v>78</v>
      </c>
      <c r="G123" s="2">
        <f t="shared" si="3"/>
        <v>46271</v>
      </c>
      <c r="H123" cm="1">
        <f t="array" ref="H123">D123*_xlfn.XLOOKUP(C123,Clean_Inventry_Master!A:A,Clean_Inventry_Master!E:E,NOT FOUND,0)</f>
        <v>2520</v>
      </c>
      <c r="I123" s="2">
        <f t="shared" si="4"/>
        <v>46266</v>
      </c>
      <c r="J123" t="str">
        <f t="shared" si="5"/>
        <v>Sep 2026</v>
      </c>
    </row>
    <row r="124" spans="1:10" x14ac:dyDescent="0.3">
      <c r="A124" t="s">
        <v>317</v>
      </c>
      <c r="B124" t="s">
        <v>276</v>
      </c>
      <c r="C124" t="s">
        <v>33</v>
      </c>
      <c r="D124" s="5">
        <v>9</v>
      </c>
      <c r="E124" t="s">
        <v>77</v>
      </c>
      <c r="F124" t="s">
        <v>92</v>
      </c>
      <c r="G124" s="2">
        <f t="shared" si="3"/>
        <v>46069</v>
      </c>
      <c r="H124" cm="1">
        <f t="array" ref="H124">D124*_xlfn.XLOOKUP(C124,Clean_Inventry_Master!A:A,Clean_Inventry_Master!E:E,NOT FOUND,0)</f>
        <v>216</v>
      </c>
      <c r="I124" s="2">
        <f t="shared" si="4"/>
        <v>46054</v>
      </c>
      <c r="J124" t="str">
        <f t="shared" si="5"/>
        <v>Feb 2026</v>
      </c>
    </row>
    <row r="125" spans="1:10" x14ac:dyDescent="0.3">
      <c r="A125" t="s">
        <v>318</v>
      </c>
      <c r="B125" t="s">
        <v>236</v>
      </c>
      <c r="C125" t="s">
        <v>39</v>
      </c>
      <c r="D125" s="5">
        <v>4</v>
      </c>
      <c r="E125" t="s">
        <v>1308</v>
      </c>
      <c r="F125" t="s">
        <v>92</v>
      </c>
      <c r="G125" s="2">
        <f t="shared" si="3"/>
        <v>46110</v>
      </c>
      <c r="H125" cm="1">
        <f t="array" ref="H125">D125*_xlfn.XLOOKUP(C125,Clean_Inventry_Master!A:A,Clean_Inventry_Master!E:E,NOT FOUND,0)</f>
        <v>87.96</v>
      </c>
      <c r="I125" s="2">
        <f t="shared" si="4"/>
        <v>46082</v>
      </c>
      <c r="J125" t="str">
        <f t="shared" si="5"/>
        <v>Mar 2026</v>
      </c>
    </row>
    <row r="126" spans="1:10" x14ac:dyDescent="0.3">
      <c r="A126" t="s">
        <v>319</v>
      </c>
      <c r="B126" t="s">
        <v>320</v>
      </c>
      <c r="C126" t="s">
        <v>52</v>
      </c>
      <c r="D126" s="5">
        <v>9</v>
      </c>
      <c r="E126" t="s">
        <v>91</v>
      </c>
      <c r="F126" t="s">
        <v>78</v>
      </c>
      <c r="G126" s="2">
        <f t="shared" si="3"/>
        <v>46065</v>
      </c>
      <c r="H126" cm="1">
        <f t="array" ref="H126">D126*_xlfn.XLOOKUP(C126,Clean_Inventry_Master!A:A,Clean_Inventry_Master!E:E,NOT FOUND,0)</f>
        <v>269.90999999999997</v>
      </c>
      <c r="I126" s="2">
        <f t="shared" si="4"/>
        <v>46054</v>
      </c>
      <c r="J126" t="str">
        <f t="shared" si="5"/>
        <v>Feb 2026</v>
      </c>
    </row>
    <row r="127" spans="1:10" x14ac:dyDescent="0.3">
      <c r="A127" t="s">
        <v>321</v>
      </c>
      <c r="B127" t="s">
        <v>322</v>
      </c>
      <c r="C127" t="s">
        <v>49</v>
      </c>
      <c r="D127" s="5">
        <v>3</v>
      </c>
      <c r="E127" t="s">
        <v>1308</v>
      </c>
      <c r="F127" t="s">
        <v>92</v>
      </c>
      <c r="G127" s="2">
        <f t="shared" si="3"/>
        <v>46228</v>
      </c>
      <c r="H127" cm="1">
        <f t="array" ref="H127">D127*_xlfn.XLOOKUP(C127,Clean_Inventry_Master!A:A,Clean_Inventry_Master!E:E,NOT FOUND,0)</f>
        <v>149.97</v>
      </c>
      <c r="I127" s="2">
        <f t="shared" si="4"/>
        <v>46204</v>
      </c>
      <c r="J127" t="str">
        <f t="shared" si="5"/>
        <v>Jul 2026</v>
      </c>
    </row>
    <row r="128" spans="1:10" x14ac:dyDescent="0.3">
      <c r="A128" t="s">
        <v>323</v>
      </c>
      <c r="B128" t="s">
        <v>276</v>
      </c>
      <c r="C128" t="s">
        <v>60</v>
      </c>
      <c r="D128" s="5">
        <v>11</v>
      </c>
      <c r="E128" t="s">
        <v>91</v>
      </c>
      <c r="F128" t="s">
        <v>78</v>
      </c>
      <c r="G128" s="2">
        <f t="shared" si="3"/>
        <v>46069</v>
      </c>
      <c r="H128" cm="1">
        <f t="array" ref="H128">D128*_xlfn.XLOOKUP(C128,Clean_Inventry_Master!A:A,Clean_Inventry_Master!E:E,NOT FOUND,0)</f>
        <v>989.89</v>
      </c>
      <c r="I128" s="2">
        <f t="shared" si="4"/>
        <v>46054</v>
      </c>
      <c r="J128" t="str">
        <f t="shared" si="5"/>
        <v>Feb 2026</v>
      </c>
    </row>
    <row r="129" spans="1:10" x14ac:dyDescent="0.3">
      <c r="A129" t="s">
        <v>324</v>
      </c>
      <c r="B129" t="s">
        <v>272</v>
      </c>
      <c r="C129" t="s">
        <v>22</v>
      </c>
      <c r="D129" s="5">
        <v>11</v>
      </c>
      <c r="E129" t="s">
        <v>82</v>
      </c>
      <c r="F129" t="s">
        <v>83</v>
      </c>
      <c r="G129" s="2">
        <f t="shared" si="3"/>
        <v>46288</v>
      </c>
      <c r="H129" cm="1">
        <f t="array" ref="H129">D129*_xlfn.XLOOKUP(C129,Clean_Inventry_Master!A:A,Clean_Inventry_Master!E:E,NOT FOUND,0)</f>
        <v>1319.8899999999999</v>
      </c>
      <c r="I129" s="2">
        <f t="shared" si="4"/>
        <v>46266</v>
      </c>
      <c r="J129" t="str">
        <f t="shared" si="5"/>
        <v>Sep 2026</v>
      </c>
    </row>
    <row r="130" spans="1:10" x14ac:dyDescent="0.3">
      <c r="A130" t="s">
        <v>325</v>
      </c>
      <c r="B130" t="s">
        <v>326</v>
      </c>
      <c r="C130" t="s">
        <v>18</v>
      </c>
      <c r="D130" s="5">
        <v>6</v>
      </c>
      <c r="E130" t="s">
        <v>91</v>
      </c>
      <c r="F130" t="s">
        <v>83</v>
      </c>
      <c r="G130" s="2">
        <f t="shared" ref="G130:G193" si="6">IF(ISNUMBER(SEARCH("-", B130)), DATEVALUE(B130), DATE(RIGHT(B130,4), LEFT(B130, FIND("/", B130)-1), MID(B130, FIND("/", B130)+1, FIND("/", B130, FIND("/", B130)+1) - FIND("/", B130) - 1)))</f>
        <v>46087</v>
      </c>
      <c r="H130" cm="1">
        <f t="array" ref="H130">D130*_xlfn.XLOOKUP(C130,Clean_Inventry_Master!A:A,Clean_Inventry_Master!E:E,NOT FOUND,0)</f>
        <v>419.93999999999994</v>
      </c>
      <c r="I130" s="2">
        <f t="shared" ref="I130:I193" si="7">DATE(YEAR(G130),MONTH(G130),1)</f>
        <v>46082</v>
      </c>
      <c r="J130" t="str">
        <f t="shared" ref="J130:J193" si="8">TEXT(I130,"mmm yyyy")</f>
        <v>Mar 2026</v>
      </c>
    </row>
    <row r="131" spans="1:10" x14ac:dyDescent="0.3">
      <c r="A131" t="s">
        <v>327</v>
      </c>
      <c r="B131" t="s">
        <v>328</v>
      </c>
      <c r="C131" t="s">
        <v>31</v>
      </c>
      <c r="D131" s="5">
        <v>14</v>
      </c>
      <c r="E131" t="s">
        <v>1308</v>
      </c>
      <c r="F131" t="s">
        <v>92</v>
      </c>
      <c r="G131" s="2">
        <f t="shared" si="6"/>
        <v>46076</v>
      </c>
      <c r="H131" cm="1">
        <f t="array" ref="H131">D131*_xlfn.XLOOKUP(C131,Clean_Inventry_Master!A:A,Clean_Inventry_Master!E:E,NOT FOUND,0)</f>
        <v>210</v>
      </c>
      <c r="I131" s="2">
        <f t="shared" si="7"/>
        <v>46054</v>
      </c>
      <c r="J131" t="str">
        <f t="shared" si="8"/>
        <v>Feb 2026</v>
      </c>
    </row>
    <row r="132" spans="1:10" x14ac:dyDescent="0.3">
      <c r="A132" t="s">
        <v>329</v>
      </c>
      <c r="B132" t="s">
        <v>330</v>
      </c>
      <c r="C132" t="s">
        <v>37</v>
      </c>
      <c r="D132" s="5">
        <v>8</v>
      </c>
      <c r="E132" t="s">
        <v>77</v>
      </c>
      <c r="F132" t="s">
        <v>92</v>
      </c>
      <c r="G132" s="2">
        <f t="shared" si="6"/>
        <v>46038</v>
      </c>
      <c r="H132" cm="1">
        <f t="array" ref="H132">D132*_xlfn.XLOOKUP(C132,Clean_Inventry_Master!A:A,Clean_Inventry_Master!E:E,NOT FOUND,0)</f>
        <v>360</v>
      </c>
      <c r="I132" s="2">
        <f t="shared" si="7"/>
        <v>46023</v>
      </c>
      <c r="J132" t="str">
        <f t="shared" si="8"/>
        <v>Jan 2026</v>
      </c>
    </row>
    <row r="133" spans="1:10" x14ac:dyDescent="0.3">
      <c r="A133" t="s">
        <v>331</v>
      </c>
      <c r="B133" t="s">
        <v>113</v>
      </c>
      <c r="C133" t="s">
        <v>39</v>
      </c>
      <c r="D133" s="5">
        <v>6</v>
      </c>
      <c r="E133" t="s">
        <v>1308</v>
      </c>
      <c r="F133" t="s">
        <v>92</v>
      </c>
      <c r="G133" s="2">
        <f t="shared" si="6"/>
        <v>46280</v>
      </c>
      <c r="H133" cm="1">
        <f t="array" ref="H133">D133*_xlfn.XLOOKUP(C133,Clean_Inventry_Master!A:A,Clean_Inventry_Master!E:E,NOT FOUND,0)</f>
        <v>131.94</v>
      </c>
      <c r="I133" s="2">
        <f t="shared" si="7"/>
        <v>46266</v>
      </c>
      <c r="J133" t="str">
        <f t="shared" si="8"/>
        <v>Sep 2026</v>
      </c>
    </row>
    <row r="134" spans="1:10" x14ac:dyDescent="0.3">
      <c r="A134" t="s">
        <v>332</v>
      </c>
      <c r="B134" t="s">
        <v>333</v>
      </c>
      <c r="C134" t="s">
        <v>18</v>
      </c>
      <c r="D134" s="5">
        <v>7</v>
      </c>
      <c r="E134" t="s">
        <v>82</v>
      </c>
      <c r="F134" t="s">
        <v>92</v>
      </c>
      <c r="G134" s="2">
        <f t="shared" si="6"/>
        <v>46155</v>
      </c>
      <c r="H134" cm="1">
        <f t="array" ref="H134">D134*_xlfn.XLOOKUP(C134,Clean_Inventry_Master!A:A,Clean_Inventry_Master!E:E,NOT FOUND,0)</f>
        <v>489.92999999999995</v>
      </c>
      <c r="I134" s="2">
        <f t="shared" si="7"/>
        <v>46143</v>
      </c>
      <c r="J134" t="str">
        <f t="shared" si="8"/>
        <v>May 2026</v>
      </c>
    </row>
    <row r="135" spans="1:10" x14ac:dyDescent="0.3">
      <c r="A135" t="s">
        <v>334</v>
      </c>
      <c r="B135" t="s">
        <v>107</v>
      </c>
      <c r="C135" t="s">
        <v>14</v>
      </c>
      <c r="D135" s="5">
        <v>5</v>
      </c>
      <c r="E135" t="s">
        <v>77</v>
      </c>
      <c r="F135" t="s">
        <v>92</v>
      </c>
      <c r="G135" s="2">
        <f t="shared" si="6"/>
        <v>46058</v>
      </c>
      <c r="H135" cm="1">
        <f t="array" ref="H135">D135*_xlfn.XLOOKUP(C135,Clean_Inventry_Master!A:A,Clean_Inventry_Master!E:E,NOT FOUND,0)</f>
        <v>175</v>
      </c>
      <c r="I135" s="2">
        <f t="shared" si="7"/>
        <v>46054</v>
      </c>
      <c r="J135" t="str">
        <f t="shared" si="8"/>
        <v>Feb 2026</v>
      </c>
    </row>
    <row r="136" spans="1:10" x14ac:dyDescent="0.3">
      <c r="A136" t="s">
        <v>335</v>
      </c>
      <c r="B136" t="s">
        <v>183</v>
      </c>
      <c r="C136" t="s">
        <v>47</v>
      </c>
      <c r="D136" s="5">
        <v>6</v>
      </c>
      <c r="E136" t="s">
        <v>77</v>
      </c>
      <c r="F136" t="s">
        <v>78</v>
      </c>
      <c r="G136" s="2">
        <f t="shared" si="6"/>
        <v>46182</v>
      </c>
      <c r="H136" cm="1">
        <f t="array" ref="H136">D136*_xlfn.XLOOKUP(C136,Clean_Inventry_Master!A:A,Clean_Inventry_Master!E:E,NOT FOUND,0)</f>
        <v>779.94</v>
      </c>
      <c r="I136" s="2">
        <f t="shared" si="7"/>
        <v>46174</v>
      </c>
      <c r="J136" t="str">
        <f t="shared" si="8"/>
        <v>Jun 2026</v>
      </c>
    </row>
    <row r="137" spans="1:10" x14ac:dyDescent="0.3">
      <c r="A137" t="s">
        <v>336</v>
      </c>
      <c r="B137" t="s">
        <v>143</v>
      </c>
      <c r="C137" t="s">
        <v>60</v>
      </c>
      <c r="D137" s="5">
        <v>8</v>
      </c>
      <c r="E137" t="s">
        <v>1308</v>
      </c>
      <c r="F137" t="s">
        <v>92</v>
      </c>
      <c r="G137" s="2">
        <f t="shared" si="6"/>
        <v>46140</v>
      </c>
      <c r="H137" cm="1">
        <f t="array" ref="H137">D137*_xlfn.XLOOKUP(C137,Clean_Inventry_Master!A:A,Clean_Inventry_Master!E:E,NOT FOUND,0)</f>
        <v>719.92</v>
      </c>
      <c r="I137" s="2">
        <f t="shared" si="7"/>
        <v>46113</v>
      </c>
      <c r="J137" t="str">
        <f t="shared" si="8"/>
        <v>Apr 2026</v>
      </c>
    </row>
    <row r="138" spans="1:10" x14ac:dyDescent="0.3">
      <c r="A138" t="s">
        <v>337</v>
      </c>
      <c r="B138" t="s">
        <v>338</v>
      </c>
      <c r="C138" t="s">
        <v>14</v>
      </c>
      <c r="D138" s="5">
        <v>6</v>
      </c>
      <c r="E138" t="s">
        <v>91</v>
      </c>
      <c r="F138" t="s">
        <v>78</v>
      </c>
      <c r="G138" s="2">
        <f t="shared" si="6"/>
        <v>46093</v>
      </c>
      <c r="H138" cm="1">
        <f t="array" ref="H138">D138*_xlfn.XLOOKUP(C138,Clean_Inventry_Master!A:A,Clean_Inventry_Master!E:E,NOT FOUND,0)</f>
        <v>210</v>
      </c>
      <c r="I138" s="2">
        <f t="shared" si="7"/>
        <v>46082</v>
      </c>
      <c r="J138" t="str">
        <f t="shared" si="8"/>
        <v>Mar 2026</v>
      </c>
    </row>
    <row r="139" spans="1:10" x14ac:dyDescent="0.3">
      <c r="A139" t="s">
        <v>339</v>
      </c>
      <c r="B139" t="s">
        <v>322</v>
      </c>
      <c r="C139" t="s">
        <v>58</v>
      </c>
      <c r="D139" s="5">
        <v>13</v>
      </c>
      <c r="E139" t="s">
        <v>1308</v>
      </c>
      <c r="F139" t="s">
        <v>78</v>
      </c>
      <c r="G139" s="2">
        <f t="shared" si="6"/>
        <v>46228</v>
      </c>
      <c r="H139" cm="1">
        <f t="array" ref="H139">D139*_xlfn.XLOOKUP(C139,Clean_Inventry_Master!A:A,Clean_Inventry_Master!E:E,NOT FOUND,0)</f>
        <v>779.87</v>
      </c>
      <c r="I139" s="2">
        <f t="shared" si="7"/>
        <v>46204</v>
      </c>
      <c r="J139" t="str">
        <f t="shared" si="8"/>
        <v>Jul 2026</v>
      </c>
    </row>
    <row r="140" spans="1:10" x14ac:dyDescent="0.3">
      <c r="A140" t="s">
        <v>340</v>
      </c>
      <c r="B140" t="s">
        <v>341</v>
      </c>
      <c r="C140" t="s">
        <v>60</v>
      </c>
      <c r="D140" s="5">
        <v>10</v>
      </c>
      <c r="E140" t="s">
        <v>82</v>
      </c>
      <c r="F140" t="s">
        <v>92</v>
      </c>
      <c r="G140" s="2">
        <f t="shared" si="6"/>
        <v>46042</v>
      </c>
      <c r="H140" cm="1">
        <f t="array" ref="H140">D140*_xlfn.XLOOKUP(C140,Clean_Inventry_Master!A:A,Clean_Inventry_Master!E:E,NOT FOUND,0)</f>
        <v>899.9</v>
      </c>
      <c r="I140" s="2">
        <f t="shared" si="7"/>
        <v>46023</v>
      </c>
      <c r="J140" t="str">
        <f t="shared" si="8"/>
        <v>Jan 2026</v>
      </c>
    </row>
    <row r="141" spans="1:10" x14ac:dyDescent="0.3">
      <c r="A141" t="s">
        <v>342</v>
      </c>
      <c r="B141" t="s">
        <v>157</v>
      </c>
      <c r="C141" t="s">
        <v>64</v>
      </c>
      <c r="D141" s="5">
        <v>12</v>
      </c>
      <c r="E141" t="s">
        <v>77</v>
      </c>
      <c r="F141" t="s">
        <v>78</v>
      </c>
      <c r="G141" s="2">
        <f t="shared" si="6"/>
        <v>46233</v>
      </c>
      <c r="H141" cm="1">
        <f t="array" ref="H141">D141*_xlfn.XLOOKUP(C141,Clean_Inventry_Master!A:A,Clean_Inventry_Master!E:E,NOT FOUND,0)</f>
        <v>239.88</v>
      </c>
      <c r="I141" s="2">
        <f t="shared" si="7"/>
        <v>46204</v>
      </c>
      <c r="J141" t="str">
        <f t="shared" si="8"/>
        <v>Jul 2026</v>
      </c>
    </row>
    <row r="142" spans="1:10" x14ac:dyDescent="0.3">
      <c r="A142" t="s">
        <v>343</v>
      </c>
      <c r="B142" t="s">
        <v>344</v>
      </c>
      <c r="C142" t="s">
        <v>22</v>
      </c>
      <c r="D142" s="5">
        <v>4</v>
      </c>
      <c r="E142" t="s">
        <v>1308</v>
      </c>
      <c r="F142" t="s">
        <v>92</v>
      </c>
      <c r="G142" s="2">
        <f t="shared" si="6"/>
        <v>46103</v>
      </c>
      <c r="H142" cm="1">
        <f t="array" ref="H142">D142*_xlfn.XLOOKUP(C142,Clean_Inventry_Master!A:A,Clean_Inventry_Master!E:E,NOT FOUND,0)</f>
        <v>479.96</v>
      </c>
      <c r="I142" s="2">
        <f t="shared" si="7"/>
        <v>46082</v>
      </c>
      <c r="J142" t="str">
        <f t="shared" si="8"/>
        <v>Mar 2026</v>
      </c>
    </row>
    <row r="143" spans="1:10" x14ac:dyDescent="0.3">
      <c r="A143" t="s">
        <v>345</v>
      </c>
      <c r="B143" t="s">
        <v>199</v>
      </c>
      <c r="C143" t="s">
        <v>26</v>
      </c>
      <c r="D143" s="5">
        <v>12</v>
      </c>
      <c r="E143" t="s">
        <v>77</v>
      </c>
      <c r="F143" t="s">
        <v>92</v>
      </c>
      <c r="G143" s="2">
        <f t="shared" si="6"/>
        <v>46226</v>
      </c>
      <c r="H143" cm="1">
        <f t="array" ref="H143">D143*_xlfn.XLOOKUP(C143,Clean_Inventry_Master!A:A,Clean_Inventry_Master!E:E,NOT FOUND,0)</f>
        <v>1079.8799999999999</v>
      </c>
      <c r="I143" s="2">
        <f t="shared" si="7"/>
        <v>46204</v>
      </c>
      <c r="J143" t="str">
        <f t="shared" si="8"/>
        <v>Jul 2026</v>
      </c>
    </row>
    <row r="144" spans="1:10" x14ac:dyDescent="0.3">
      <c r="A144" t="s">
        <v>346</v>
      </c>
      <c r="B144" t="s">
        <v>347</v>
      </c>
      <c r="C144" t="s">
        <v>68</v>
      </c>
      <c r="D144" s="5">
        <v>13</v>
      </c>
      <c r="E144" t="s">
        <v>1308</v>
      </c>
      <c r="F144" t="s">
        <v>78</v>
      </c>
      <c r="G144" s="2">
        <f t="shared" si="6"/>
        <v>46113</v>
      </c>
      <c r="H144" cm="1">
        <f t="array" ref="H144">D144*_xlfn.XLOOKUP(C144,Clean_Inventry_Master!A:A,Clean_Inventry_Master!E:E,NOT FOUND,0)</f>
        <v>552.5</v>
      </c>
      <c r="I144" s="2">
        <f t="shared" si="7"/>
        <v>46113</v>
      </c>
      <c r="J144" t="str">
        <f t="shared" si="8"/>
        <v>Apr 2026</v>
      </c>
    </row>
    <row r="145" spans="1:10" x14ac:dyDescent="0.3">
      <c r="A145" t="s">
        <v>348</v>
      </c>
      <c r="B145" t="s">
        <v>349</v>
      </c>
      <c r="C145" t="s">
        <v>33</v>
      </c>
      <c r="D145" s="5">
        <v>7</v>
      </c>
      <c r="E145" t="s">
        <v>1308</v>
      </c>
      <c r="F145" t="s">
        <v>83</v>
      </c>
      <c r="G145" s="2">
        <f t="shared" si="6"/>
        <v>46047</v>
      </c>
      <c r="H145" cm="1">
        <f t="array" ref="H145">D145*_xlfn.XLOOKUP(C145,Clean_Inventry_Master!A:A,Clean_Inventry_Master!E:E,NOT FOUND,0)</f>
        <v>168</v>
      </c>
      <c r="I145" s="2">
        <f t="shared" si="7"/>
        <v>46023</v>
      </c>
      <c r="J145" t="str">
        <f t="shared" si="8"/>
        <v>Jan 2026</v>
      </c>
    </row>
    <row r="146" spans="1:10" x14ac:dyDescent="0.3">
      <c r="A146" t="s">
        <v>350</v>
      </c>
      <c r="B146" t="s">
        <v>259</v>
      </c>
      <c r="C146" t="s">
        <v>35</v>
      </c>
      <c r="D146" s="5">
        <v>4</v>
      </c>
      <c r="E146" t="s">
        <v>1308</v>
      </c>
      <c r="F146" t="s">
        <v>83</v>
      </c>
      <c r="G146" s="2">
        <f t="shared" si="6"/>
        <v>46097</v>
      </c>
      <c r="H146" cm="1">
        <f t="array" ref="H146">D146*_xlfn.XLOOKUP(C146,Clean_Inventry_Master!A:A,Clean_Inventry_Master!E:E,NOT FOUND,0)</f>
        <v>39.96</v>
      </c>
      <c r="I146" s="2">
        <f t="shared" si="7"/>
        <v>46082</v>
      </c>
      <c r="J146" t="str">
        <f t="shared" si="8"/>
        <v>Mar 2026</v>
      </c>
    </row>
    <row r="147" spans="1:10" x14ac:dyDescent="0.3">
      <c r="A147" t="s">
        <v>351</v>
      </c>
      <c r="B147" t="s">
        <v>352</v>
      </c>
      <c r="C147" t="s">
        <v>54</v>
      </c>
      <c r="D147" s="5">
        <v>11</v>
      </c>
      <c r="E147" t="s">
        <v>91</v>
      </c>
      <c r="F147" t="s">
        <v>78</v>
      </c>
      <c r="G147" s="2">
        <f t="shared" si="6"/>
        <v>46153</v>
      </c>
      <c r="H147" cm="1">
        <f t="array" ref="H147">D147*_xlfn.XLOOKUP(C147,Clean_Inventry_Master!A:A,Clean_Inventry_Master!E:E,NOT FOUND,0)</f>
        <v>3849.8900000000003</v>
      </c>
      <c r="I147" s="2">
        <f t="shared" si="7"/>
        <v>46143</v>
      </c>
      <c r="J147" t="str">
        <f t="shared" si="8"/>
        <v>May 2026</v>
      </c>
    </row>
    <row r="148" spans="1:10" x14ac:dyDescent="0.3">
      <c r="A148" t="s">
        <v>353</v>
      </c>
      <c r="B148" t="s">
        <v>354</v>
      </c>
      <c r="C148" t="s">
        <v>39</v>
      </c>
      <c r="D148" s="5">
        <v>4</v>
      </c>
      <c r="E148" t="s">
        <v>77</v>
      </c>
      <c r="F148" t="s">
        <v>92</v>
      </c>
      <c r="G148" s="2">
        <f t="shared" si="6"/>
        <v>46110</v>
      </c>
      <c r="H148" cm="1">
        <f t="array" ref="H148">D148*_xlfn.XLOOKUP(C148,Clean_Inventry_Master!A:A,Clean_Inventry_Master!E:E,NOT FOUND,0)</f>
        <v>87.96</v>
      </c>
      <c r="I148" s="2">
        <f t="shared" si="7"/>
        <v>46082</v>
      </c>
      <c r="J148" t="str">
        <f t="shared" si="8"/>
        <v>Mar 2026</v>
      </c>
    </row>
    <row r="149" spans="1:10" x14ac:dyDescent="0.3">
      <c r="A149" t="s">
        <v>356</v>
      </c>
      <c r="B149" t="s">
        <v>357</v>
      </c>
      <c r="C149" t="s">
        <v>49</v>
      </c>
      <c r="D149" s="5">
        <v>14</v>
      </c>
      <c r="E149" t="s">
        <v>91</v>
      </c>
      <c r="F149" t="s">
        <v>83</v>
      </c>
      <c r="G149" s="2">
        <f t="shared" si="6"/>
        <v>46106</v>
      </c>
      <c r="H149" cm="1">
        <f t="array" ref="H149">D149*_xlfn.XLOOKUP(C149,Clean_Inventry_Master!A:A,Clean_Inventry_Master!E:E,NOT FOUND,0)</f>
        <v>699.86</v>
      </c>
      <c r="I149" s="2">
        <f t="shared" si="7"/>
        <v>46082</v>
      </c>
      <c r="J149" t="str">
        <f t="shared" si="8"/>
        <v>Mar 2026</v>
      </c>
    </row>
    <row r="150" spans="1:10" x14ac:dyDescent="0.3">
      <c r="A150" t="s">
        <v>358</v>
      </c>
      <c r="B150" t="s">
        <v>272</v>
      </c>
      <c r="C150" t="s">
        <v>43</v>
      </c>
      <c r="D150" s="5">
        <v>9</v>
      </c>
      <c r="E150" t="s">
        <v>77</v>
      </c>
      <c r="F150" t="s">
        <v>83</v>
      </c>
      <c r="G150" s="2">
        <f t="shared" si="6"/>
        <v>46288</v>
      </c>
      <c r="H150" cm="1">
        <f t="array" ref="H150">D150*_xlfn.XLOOKUP(C150,Clean_Inventry_Master!A:A,Clean_Inventry_Master!E:E,NOT FOUND,0)</f>
        <v>76.5</v>
      </c>
      <c r="I150" s="2">
        <f t="shared" si="7"/>
        <v>46266</v>
      </c>
      <c r="J150" t="str">
        <f t="shared" si="8"/>
        <v>Sep 2026</v>
      </c>
    </row>
    <row r="151" spans="1:10" x14ac:dyDescent="0.3">
      <c r="A151" t="s">
        <v>359</v>
      </c>
      <c r="B151" t="s">
        <v>157</v>
      </c>
      <c r="C151" t="s">
        <v>28</v>
      </c>
      <c r="D151" s="5">
        <v>8</v>
      </c>
      <c r="E151" t="s">
        <v>82</v>
      </c>
      <c r="F151" t="s">
        <v>92</v>
      </c>
      <c r="G151" s="2">
        <f t="shared" si="6"/>
        <v>46233</v>
      </c>
      <c r="H151" cm="1">
        <f t="array" ref="H151">D151*_xlfn.XLOOKUP(C151,Clean_Inventry_Master!A:A,Clean_Inventry_Master!E:E,NOT FOUND,0)</f>
        <v>1440</v>
      </c>
      <c r="I151" s="2">
        <f t="shared" si="7"/>
        <v>46204</v>
      </c>
      <c r="J151" t="str">
        <f t="shared" si="8"/>
        <v>Jul 2026</v>
      </c>
    </row>
    <row r="152" spans="1:10" x14ac:dyDescent="0.3">
      <c r="A152" t="s">
        <v>360</v>
      </c>
      <c r="B152" t="s">
        <v>361</v>
      </c>
      <c r="C152" t="s">
        <v>43</v>
      </c>
      <c r="D152" s="5">
        <v>13</v>
      </c>
      <c r="E152" t="s">
        <v>91</v>
      </c>
      <c r="F152" t="s">
        <v>78</v>
      </c>
      <c r="G152" s="2">
        <f t="shared" si="6"/>
        <v>46244</v>
      </c>
      <c r="H152" cm="1">
        <f t="array" ref="H152">D152*_xlfn.XLOOKUP(C152,Clean_Inventry_Master!A:A,Clean_Inventry_Master!E:E,NOT FOUND,0)</f>
        <v>110.5</v>
      </c>
      <c r="I152" s="2">
        <f t="shared" si="7"/>
        <v>46235</v>
      </c>
      <c r="J152" t="str">
        <f t="shared" si="8"/>
        <v>Aug 2026</v>
      </c>
    </row>
    <row r="153" spans="1:10" x14ac:dyDescent="0.3">
      <c r="A153" t="s">
        <v>362</v>
      </c>
      <c r="B153" t="s">
        <v>203</v>
      </c>
      <c r="C153" t="s">
        <v>12</v>
      </c>
      <c r="D153" s="5">
        <v>7</v>
      </c>
      <c r="E153" t="s">
        <v>91</v>
      </c>
      <c r="F153" t="s">
        <v>83</v>
      </c>
      <c r="G153" s="2">
        <f t="shared" si="6"/>
        <v>46136</v>
      </c>
      <c r="H153" cm="1">
        <f t="array" ref="H153">D153*_xlfn.XLOOKUP(C153,Clean_Inventry_Master!A:A,Clean_Inventry_Master!E:E,NOT FOUND,0)</f>
        <v>665</v>
      </c>
      <c r="I153" s="2">
        <f t="shared" si="7"/>
        <v>46113</v>
      </c>
      <c r="J153" t="str">
        <f t="shared" si="8"/>
        <v>Apr 2026</v>
      </c>
    </row>
    <row r="154" spans="1:10" x14ac:dyDescent="0.3">
      <c r="A154" t="s">
        <v>363</v>
      </c>
      <c r="B154" t="s">
        <v>364</v>
      </c>
      <c r="C154" t="s">
        <v>66</v>
      </c>
      <c r="D154" s="5">
        <v>12</v>
      </c>
      <c r="E154" t="s">
        <v>91</v>
      </c>
      <c r="F154" t="s">
        <v>92</v>
      </c>
      <c r="G154" s="2">
        <f t="shared" si="6"/>
        <v>46243</v>
      </c>
      <c r="H154" cm="1">
        <f t="array" ref="H154">D154*_xlfn.XLOOKUP(C154,Clean_Inventry_Master!A:A,Clean_Inventry_Master!E:E,NOT FOUND,0)</f>
        <v>419.88</v>
      </c>
      <c r="I154" s="2">
        <f t="shared" si="7"/>
        <v>46235</v>
      </c>
      <c r="J154" t="str">
        <f t="shared" si="8"/>
        <v>Aug 2026</v>
      </c>
    </row>
    <row r="155" spans="1:10" x14ac:dyDescent="0.3">
      <c r="A155" t="s">
        <v>365</v>
      </c>
      <c r="B155" t="s">
        <v>366</v>
      </c>
      <c r="C155" t="s">
        <v>14</v>
      </c>
      <c r="D155" s="5">
        <v>7</v>
      </c>
      <c r="E155" t="s">
        <v>82</v>
      </c>
      <c r="F155" t="s">
        <v>78</v>
      </c>
      <c r="G155" s="2">
        <f t="shared" si="6"/>
        <v>46094</v>
      </c>
      <c r="H155" cm="1">
        <f t="array" ref="H155">D155*_xlfn.XLOOKUP(C155,Clean_Inventry_Master!A:A,Clean_Inventry_Master!E:E,NOT FOUND,0)</f>
        <v>245</v>
      </c>
      <c r="I155" s="2">
        <f t="shared" si="7"/>
        <v>46082</v>
      </c>
      <c r="J155" t="str">
        <f t="shared" si="8"/>
        <v>Mar 2026</v>
      </c>
    </row>
    <row r="156" spans="1:10" x14ac:dyDescent="0.3">
      <c r="A156" t="s">
        <v>367</v>
      </c>
      <c r="B156" t="s">
        <v>368</v>
      </c>
      <c r="C156" t="s">
        <v>68</v>
      </c>
      <c r="D156" s="5">
        <v>12</v>
      </c>
      <c r="E156" t="s">
        <v>82</v>
      </c>
      <c r="F156" t="s">
        <v>83</v>
      </c>
      <c r="G156" s="2">
        <f t="shared" si="6"/>
        <v>46295</v>
      </c>
      <c r="H156" cm="1">
        <f t="array" ref="H156">D156*_xlfn.XLOOKUP(C156,Clean_Inventry_Master!A:A,Clean_Inventry_Master!E:E,NOT FOUND,0)</f>
        <v>510</v>
      </c>
      <c r="I156" s="2">
        <f t="shared" si="7"/>
        <v>46266</v>
      </c>
      <c r="J156" t="str">
        <f t="shared" si="8"/>
        <v>Sep 2026</v>
      </c>
    </row>
    <row r="157" spans="1:10" x14ac:dyDescent="0.3">
      <c r="A157" t="s">
        <v>369</v>
      </c>
      <c r="B157" t="s">
        <v>370</v>
      </c>
      <c r="C157" t="s">
        <v>66</v>
      </c>
      <c r="D157" s="5">
        <v>7</v>
      </c>
      <c r="E157" t="s">
        <v>82</v>
      </c>
      <c r="F157" t="s">
        <v>78</v>
      </c>
      <c r="G157" s="2">
        <f t="shared" si="6"/>
        <v>46159</v>
      </c>
      <c r="H157" cm="1">
        <f t="array" ref="H157">D157*_xlfn.XLOOKUP(C157,Clean_Inventry_Master!A:A,Clean_Inventry_Master!E:E,NOT FOUND,0)</f>
        <v>244.93</v>
      </c>
      <c r="I157" s="2">
        <f t="shared" si="7"/>
        <v>46143</v>
      </c>
      <c r="J157" t="str">
        <f t="shared" si="8"/>
        <v>May 2026</v>
      </c>
    </row>
    <row r="158" spans="1:10" x14ac:dyDescent="0.3">
      <c r="A158" t="s">
        <v>371</v>
      </c>
      <c r="B158" t="s">
        <v>372</v>
      </c>
      <c r="C158" t="s">
        <v>20</v>
      </c>
      <c r="D158" s="5">
        <v>5</v>
      </c>
      <c r="E158" t="s">
        <v>82</v>
      </c>
      <c r="F158" t="s">
        <v>78</v>
      </c>
      <c r="G158" s="2">
        <f t="shared" si="6"/>
        <v>46198</v>
      </c>
      <c r="H158" cm="1">
        <f t="array" ref="H158">D158*_xlfn.XLOOKUP(C158,Clean_Inventry_Master!A:A,Clean_Inventry_Master!E:E,NOT FOUND,0)</f>
        <v>399.95</v>
      </c>
      <c r="I158" s="2">
        <f t="shared" si="7"/>
        <v>46174</v>
      </c>
      <c r="J158" t="str">
        <f t="shared" si="8"/>
        <v>Jun 2026</v>
      </c>
    </row>
    <row r="159" spans="1:10" x14ac:dyDescent="0.3">
      <c r="A159" t="s">
        <v>373</v>
      </c>
      <c r="B159" t="s">
        <v>374</v>
      </c>
      <c r="C159" t="s">
        <v>39</v>
      </c>
      <c r="D159" s="5">
        <v>8</v>
      </c>
      <c r="E159" t="s">
        <v>77</v>
      </c>
      <c r="F159" t="s">
        <v>92</v>
      </c>
      <c r="G159" s="2">
        <f t="shared" si="6"/>
        <v>46236</v>
      </c>
      <c r="H159" cm="1">
        <f t="array" ref="H159">D159*_xlfn.XLOOKUP(C159,Clean_Inventry_Master!A:A,Clean_Inventry_Master!E:E,NOT FOUND,0)</f>
        <v>175.92</v>
      </c>
      <c r="I159" s="2">
        <f t="shared" si="7"/>
        <v>46235</v>
      </c>
      <c r="J159" t="str">
        <f t="shared" si="8"/>
        <v>Aug 2026</v>
      </c>
    </row>
    <row r="160" spans="1:10" x14ac:dyDescent="0.3">
      <c r="A160" t="s">
        <v>375</v>
      </c>
      <c r="B160" t="s">
        <v>376</v>
      </c>
      <c r="C160" t="s">
        <v>66</v>
      </c>
      <c r="D160" s="5">
        <v>6</v>
      </c>
      <c r="E160" t="s">
        <v>1308</v>
      </c>
      <c r="F160" t="s">
        <v>92</v>
      </c>
      <c r="G160" s="2">
        <f t="shared" si="6"/>
        <v>46242</v>
      </c>
      <c r="H160" cm="1">
        <f t="array" ref="H160">D160*_xlfn.XLOOKUP(C160,Clean_Inventry_Master!A:A,Clean_Inventry_Master!E:E,NOT FOUND,0)</f>
        <v>209.94</v>
      </c>
      <c r="I160" s="2">
        <f t="shared" si="7"/>
        <v>46235</v>
      </c>
      <c r="J160" t="str">
        <f t="shared" si="8"/>
        <v>Aug 2026</v>
      </c>
    </row>
    <row r="161" spans="1:10" x14ac:dyDescent="0.3">
      <c r="A161" t="s">
        <v>377</v>
      </c>
      <c r="B161" t="s">
        <v>282</v>
      </c>
      <c r="C161" t="s">
        <v>47</v>
      </c>
      <c r="D161" s="5">
        <v>9</v>
      </c>
      <c r="E161" t="s">
        <v>1308</v>
      </c>
      <c r="F161" t="s">
        <v>83</v>
      </c>
      <c r="G161" s="2">
        <f t="shared" si="6"/>
        <v>46167</v>
      </c>
      <c r="H161" cm="1">
        <f t="array" ref="H161">D161*_xlfn.XLOOKUP(C161,Clean_Inventry_Master!A:A,Clean_Inventry_Master!E:E,NOT FOUND,0)</f>
        <v>1169.9100000000001</v>
      </c>
      <c r="I161" s="2">
        <f t="shared" si="7"/>
        <v>46143</v>
      </c>
      <c r="J161" t="str">
        <f t="shared" si="8"/>
        <v>May 2026</v>
      </c>
    </row>
    <row r="162" spans="1:10" x14ac:dyDescent="0.3">
      <c r="A162" t="s">
        <v>378</v>
      </c>
      <c r="B162" t="s">
        <v>379</v>
      </c>
      <c r="C162" t="s">
        <v>35</v>
      </c>
      <c r="D162" s="5">
        <v>14</v>
      </c>
      <c r="E162" t="s">
        <v>82</v>
      </c>
      <c r="F162" t="s">
        <v>78</v>
      </c>
      <c r="G162" s="2">
        <f t="shared" si="6"/>
        <v>46035</v>
      </c>
      <c r="H162" cm="1">
        <f t="array" ref="H162">D162*_xlfn.XLOOKUP(C162,Clean_Inventry_Master!A:A,Clean_Inventry_Master!E:E,NOT FOUND,0)</f>
        <v>139.86000000000001</v>
      </c>
      <c r="I162" s="2">
        <f t="shared" si="7"/>
        <v>46023</v>
      </c>
      <c r="J162" t="str">
        <f t="shared" si="8"/>
        <v>Jan 2026</v>
      </c>
    </row>
    <row r="163" spans="1:10" x14ac:dyDescent="0.3">
      <c r="A163" t="s">
        <v>380</v>
      </c>
      <c r="B163" t="s">
        <v>286</v>
      </c>
      <c r="C163" t="s">
        <v>7</v>
      </c>
      <c r="D163" s="5">
        <v>13</v>
      </c>
      <c r="E163" t="s">
        <v>77</v>
      </c>
      <c r="F163" t="s">
        <v>83</v>
      </c>
      <c r="G163" s="2">
        <f t="shared" si="6"/>
        <v>46230</v>
      </c>
      <c r="H163" cm="1">
        <f t="array" ref="H163">D163*_xlfn.XLOOKUP(C163,Clean_Inventry_Master!A:A,Clean_Inventry_Master!E:E,NOT FOUND,0)</f>
        <v>585</v>
      </c>
      <c r="I163" s="2">
        <f t="shared" si="7"/>
        <v>46204</v>
      </c>
      <c r="J163" t="str">
        <f t="shared" si="8"/>
        <v>Jul 2026</v>
      </c>
    </row>
    <row r="164" spans="1:10" x14ac:dyDescent="0.3">
      <c r="A164" t="s">
        <v>381</v>
      </c>
      <c r="B164" t="s">
        <v>382</v>
      </c>
      <c r="C164" t="s">
        <v>10</v>
      </c>
      <c r="D164" s="5">
        <v>8</v>
      </c>
      <c r="E164" t="s">
        <v>1308</v>
      </c>
      <c r="F164" t="s">
        <v>78</v>
      </c>
      <c r="G164" s="2">
        <f t="shared" si="6"/>
        <v>46193</v>
      </c>
      <c r="H164" cm="1">
        <f t="array" ref="H164">D164*_xlfn.XLOOKUP(C164,Clean_Inventry_Master!A:A,Clean_Inventry_Master!E:E,NOT FOUND,0)</f>
        <v>3992</v>
      </c>
      <c r="I164" s="2">
        <f t="shared" si="7"/>
        <v>46174</v>
      </c>
      <c r="J164" t="str">
        <f t="shared" si="8"/>
        <v>Jun 2026</v>
      </c>
    </row>
    <row r="165" spans="1:10" x14ac:dyDescent="0.3">
      <c r="A165" t="s">
        <v>383</v>
      </c>
      <c r="B165" t="s">
        <v>384</v>
      </c>
      <c r="C165" t="s">
        <v>18</v>
      </c>
      <c r="D165" s="5">
        <v>10</v>
      </c>
      <c r="E165" t="s">
        <v>1308</v>
      </c>
      <c r="F165" t="s">
        <v>78</v>
      </c>
      <c r="G165" s="2">
        <f t="shared" si="6"/>
        <v>46044</v>
      </c>
      <c r="H165" cm="1">
        <f t="array" ref="H165">D165*_xlfn.XLOOKUP(C165,Clean_Inventry_Master!A:A,Clean_Inventry_Master!E:E,NOT FOUND,0)</f>
        <v>699.9</v>
      </c>
      <c r="I165" s="2">
        <f t="shared" si="7"/>
        <v>46023</v>
      </c>
      <c r="J165" t="str">
        <f t="shared" si="8"/>
        <v>Jan 2026</v>
      </c>
    </row>
    <row r="166" spans="1:10" x14ac:dyDescent="0.3">
      <c r="A166" t="s">
        <v>385</v>
      </c>
      <c r="B166" t="s">
        <v>386</v>
      </c>
      <c r="C166" t="s">
        <v>62</v>
      </c>
      <c r="D166" s="5">
        <v>10</v>
      </c>
      <c r="E166" t="s">
        <v>82</v>
      </c>
      <c r="F166" t="s">
        <v>92</v>
      </c>
      <c r="G166" s="2">
        <f t="shared" si="6"/>
        <v>46149</v>
      </c>
      <c r="H166" cm="1">
        <f t="array" ref="H166">D166*_xlfn.XLOOKUP(C166,Clean_Inventry_Master!A:A,Clean_Inventry_Master!E:E,NOT FOUND,0)</f>
        <v>275</v>
      </c>
      <c r="I166" s="2">
        <f t="shared" si="7"/>
        <v>46143</v>
      </c>
      <c r="J166" t="str">
        <f t="shared" si="8"/>
        <v>May 2026</v>
      </c>
    </row>
    <row r="167" spans="1:10" x14ac:dyDescent="0.3">
      <c r="A167" t="s">
        <v>387</v>
      </c>
      <c r="B167" t="s">
        <v>388</v>
      </c>
      <c r="C167" t="s">
        <v>18</v>
      </c>
      <c r="D167" s="5">
        <v>14</v>
      </c>
      <c r="E167" t="s">
        <v>1308</v>
      </c>
      <c r="F167" t="s">
        <v>78</v>
      </c>
      <c r="G167" s="2">
        <f t="shared" si="6"/>
        <v>46268</v>
      </c>
      <c r="H167" cm="1">
        <f t="array" ref="H167">D167*_xlfn.XLOOKUP(C167,Clean_Inventry_Master!A:A,Clean_Inventry_Master!E:E,NOT FOUND,0)</f>
        <v>979.8599999999999</v>
      </c>
      <c r="I167" s="2">
        <f t="shared" si="7"/>
        <v>46266</v>
      </c>
      <c r="J167" t="str">
        <f t="shared" si="8"/>
        <v>Sep 2026</v>
      </c>
    </row>
    <row r="168" spans="1:10" x14ac:dyDescent="0.3">
      <c r="A168" t="s">
        <v>389</v>
      </c>
      <c r="B168" t="s">
        <v>220</v>
      </c>
      <c r="C168" t="s">
        <v>7</v>
      </c>
      <c r="D168" s="5">
        <v>4</v>
      </c>
      <c r="E168" t="s">
        <v>91</v>
      </c>
      <c r="F168" t="s">
        <v>78</v>
      </c>
      <c r="G168" s="2">
        <f t="shared" si="6"/>
        <v>46202</v>
      </c>
      <c r="H168" cm="1">
        <f t="array" ref="H168">D168*_xlfn.XLOOKUP(C168,Clean_Inventry_Master!A:A,Clean_Inventry_Master!E:E,NOT FOUND,0)</f>
        <v>180</v>
      </c>
      <c r="I168" s="2">
        <f t="shared" si="7"/>
        <v>46174</v>
      </c>
      <c r="J168" t="str">
        <f t="shared" si="8"/>
        <v>Jun 2026</v>
      </c>
    </row>
    <row r="169" spans="1:10" x14ac:dyDescent="0.3">
      <c r="A169" t="s">
        <v>390</v>
      </c>
      <c r="B169" t="s">
        <v>391</v>
      </c>
      <c r="C169" t="s">
        <v>22</v>
      </c>
      <c r="D169" s="5">
        <v>5</v>
      </c>
      <c r="E169" t="s">
        <v>82</v>
      </c>
      <c r="F169" t="s">
        <v>83</v>
      </c>
      <c r="G169" s="2">
        <f t="shared" si="6"/>
        <v>46060</v>
      </c>
      <c r="H169" cm="1">
        <f t="array" ref="H169">D169*_xlfn.XLOOKUP(C169,Clean_Inventry_Master!A:A,Clean_Inventry_Master!E:E,NOT FOUND,0)</f>
        <v>599.94999999999993</v>
      </c>
      <c r="I169" s="2">
        <f t="shared" si="7"/>
        <v>46054</v>
      </c>
      <c r="J169" t="str">
        <f t="shared" si="8"/>
        <v>Feb 2026</v>
      </c>
    </row>
    <row r="170" spans="1:10" x14ac:dyDescent="0.3">
      <c r="A170" t="s">
        <v>392</v>
      </c>
      <c r="B170" t="s">
        <v>118</v>
      </c>
      <c r="C170" t="s">
        <v>37</v>
      </c>
      <c r="D170" s="5">
        <v>2</v>
      </c>
      <c r="E170" t="s">
        <v>77</v>
      </c>
      <c r="F170" t="s">
        <v>78</v>
      </c>
      <c r="G170" s="2">
        <f t="shared" si="6"/>
        <v>46209</v>
      </c>
      <c r="H170" cm="1">
        <f t="array" ref="H170">D170*_xlfn.XLOOKUP(C170,Clean_Inventry_Master!A:A,Clean_Inventry_Master!E:E,NOT FOUND,0)</f>
        <v>90</v>
      </c>
      <c r="I170" s="2">
        <f t="shared" si="7"/>
        <v>46204</v>
      </c>
      <c r="J170" t="str">
        <f t="shared" si="8"/>
        <v>Jul 2026</v>
      </c>
    </row>
    <row r="171" spans="1:10" x14ac:dyDescent="0.3">
      <c r="A171" t="s">
        <v>393</v>
      </c>
      <c r="B171" t="s">
        <v>394</v>
      </c>
      <c r="C171" t="s">
        <v>12</v>
      </c>
      <c r="D171" s="5">
        <v>2</v>
      </c>
      <c r="E171" t="s">
        <v>82</v>
      </c>
      <c r="F171" t="s">
        <v>83</v>
      </c>
      <c r="G171" s="2">
        <f t="shared" si="6"/>
        <v>46217</v>
      </c>
      <c r="H171" cm="1">
        <f t="array" ref="H171">D171*_xlfn.XLOOKUP(C171,Clean_Inventry_Master!A:A,Clean_Inventry_Master!E:E,NOT FOUND,0)</f>
        <v>190</v>
      </c>
      <c r="I171" s="2">
        <f t="shared" si="7"/>
        <v>46204</v>
      </c>
      <c r="J171" t="str">
        <f t="shared" si="8"/>
        <v>Jul 2026</v>
      </c>
    </row>
    <row r="172" spans="1:10" x14ac:dyDescent="0.3">
      <c r="A172" t="s">
        <v>395</v>
      </c>
      <c r="B172" t="s">
        <v>396</v>
      </c>
      <c r="C172" t="s">
        <v>45</v>
      </c>
      <c r="D172" s="5">
        <v>12</v>
      </c>
      <c r="E172" t="s">
        <v>1308</v>
      </c>
      <c r="F172" t="s">
        <v>83</v>
      </c>
      <c r="G172" s="2">
        <f t="shared" si="6"/>
        <v>46111</v>
      </c>
      <c r="H172" cm="1">
        <f t="array" ref="H172">D172*_xlfn.XLOOKUP(C172,Clean_Inventry_Master!A:A,Clean_Inventry_Master!E:E,NOT FOUND,0)</f>
        <v>227.88</v>
      </c>
      <c r="I172" s="2">
        <f t="shared" si="7"/>
        <v>46082</v>
      </c>
      <c r="J172" t="str">
        <f t="shared" si="8"/>
        <v>Mar 2026</v>
      </c>
    </row>
    <row r="173" spans="1:10" x14ac:dyDescent="0.3">
      <c r="A173" t="s">
        <v>398</v>
      </c>
      <c r="B173" t="s">
        <v>399</v>
      </c>
      <c r="C173" t="s">
        <v>10</v>
      </c>
      <c r="D173" s="5">
        <v>13</v>
      </c>
      <c r="E173" t="s">
        <v>77</v>
      </c>
      <c r="F173" t="s">
        <v>83</v>
      </c>
      <c r="G173" s="2">
        <f t="shared" si="6"/>
        <v>46058</v>
      </c>
      <c r="H173" cm="1">
        <f t="array" ref="H173">D173*_xlfn.XLOOKUP(C173,Clean_Inventry_Master!A:A,Clean_Inventry_Master!E:E,NOT FOUND,0)</f>
        <v>6487</v>
      </c>
      <c r="I173" s="2">
        <f t="shared" si="7"/>
        <v>46054</v>
      </c>
      <c r="J173" t="str">
        <f t="shared" si="8"/>
        <v>Feb 2026</v>
      </c>
    </row>
    <row r="174" spans="1:10" x14ac:dyDescent="0.3">
      <c r="A174" t="s">
        <v>400</v>
      </c>
      <c r="B174" t="s">
        <v>401</v>
      </c>
      <c r="C174" t="s">
        <v>56</v>
      </c>
      <c r="D174" s="5">
        <v>12</v>
      </c>
      <c r="E174" t="s">
        <v>77</v>
      </c>
      <c r="F174" t="s">
        <v>92</v>
      </c>
      <c r="G174" s="2">
        <f t="shared" si="6"/>
        <v>46037</v>
      </c>
      <c r="H174" cm="1">
        <f t="array" ref="H174">D174*_xlfn.XLOOKUP(C174,Clean_Inventry_Master!A:A,Clean_Inventry_Master!E:E,NOT FOUND,0)</f>
        <v>359.88</v>
      </c>
      <c r="I174" s="2">
        <f t="shared" si="7"/>
        <v>46023</v>
      </c>
      <c r="J174" t="str">
        <f t="shared" si="8"/>
        <v>Jan 2026</v>
      </c>
    </row>
    <row r="175" spans="1:10" x14ac:dyDescent="0.3">
      <c r="A175" t="s">
        <v>402</v>
      </c>
      <c r="B175" t="s">
        <v>132</v>
      </c>
      <c r="C175" t="s">
        <v>64</v>
      </c>
      <c r="D175" s="5">
        <v>12</v>
      </c>
      <c r="E175" t="s">
        <v>82</v>
      </c>
      <c r="F175" t="s">
        <v>92</v>
      </c>
      <c r="G175" s="2">
        <f t="shared" si="6"/>
        <v>46094</v>
      </c>
      <c r="H175" cm="1">
        <f t="array" ref="H175">D175*_xlfn.XLOOKUP(C175,Clean_Inventry_Master!A:A,Clean_Inventry_Master!E:E,NOT FOUND,0)</f>
        <v>239.88</v>
      </c>
      <c r="I175" s="2">
        <f t="shared" si="7"/>
        <v>46082</v>
      </c>
      <c r="J175" t="str">
        <f t="shared" si="8"/>
        <v>Mar 2026</v>
      </c>
    </row>
    <row r="176" spans="1:10" x14ac:dyDescent="0.3">
      <c r="A176" t="s">
        <v>403</v>
      </c>
      <c r="B176" t="s">
        <v>404</v>
      </c>
      <c r="C176" t="s">
        <v>10</v>
      </c>
      <c r="D176" s="5">
        <v>10</v>
      </c>
      <c r="E176" t="s">
        <v>1308</v>
      </c>
      <c r="F176" t="s">
        <v>78</v>
      </c>
      <c r="G176" s="2">
        <f t="shared" si="6"/>
        <v>46298</v>
      </c>
      <c r="H176" cm="1">
        <f t="array" ref="H176">D176*_xlfn.XLOOKUP(C176,Clean_Inventry_Master!A:A,Clean_Inventry_Master!E:E,NOT FOUND,0)</f>
        <v>4990</v>
      </c>
      <c r="I176" s="2">
        <f t="shared" si="7"/>
        <v>46296</v>
      </c>
      <c r="J176" t="str">
        <f t="shared" si="8"/>
        <v>Oct 2026</v>
      </c>
    </row>
    <row r="177" spans="1:10" x14ac:dyDescent="0.3">
      <c r="A177" t="s">
        <v>405</v>
      </c>
      <c r="B177" t="s">
        <v>406</v>
      </c>
      <c r="C177" t="s">
        <v>10</v>
      </c>
      <c r="D177" s="5">
        <v>6</v>
      </c>
      <c r="E177" t="s">
        <v>1308</v>
      </c>
      <c r="F177" t="s">
        <v>92</v>
      </c>
      <c r="G177" s="2">
        <f t="shared" si="6"/>
        <v>46033</v>
      </c>
      <c r="H177" cm="1">
        <f t="array" ref="H177">D177*_xlfn.XLOOKUP(C177,Clean_Inventry_Master!A:A,Clean_Inventry_Master!E:E,NOT FOUND,0)</f>
        <v>2994</v>
      </c>
      <c r="I177" s="2">
        <f t="shared" si="7"/>
        <v>46023</v>
      </c>
      <c r="J177" t="str">
        <f t="shared" si="8"/>
        <v>Jan 2026</v>
      </c>
    </row>
    <row r="178" spans="1:10" x14ac:dyDescent="0.3">
      <c r="A178" t="s">
        <v>407</v>
      </c>
      <c r="B178" t="s">
        <v>408</v>
      </c>
      <c r="C178" t="s">
        <v>16</v>
      </c>
      <c r="D178" s="5">
        <v>4</v>
      </c>
      <c r="E178" t="s">
        <v>1308</v>
      </c>
      <c r="F178" t="s">
        <v>83</v>
      </c>
      <c r="G178" s="2">
        <f t="shared" si="6"/>
        <v>46138</v>
      </c>
      <c r="H178" cm="1">
        <f t="array" ref="H178">D178*_xlfn.XLOOKUP(C178,Clean_Inventry_Master!A:A,Clean_Inventry_Master!E:E,NOT FOUND,0)</f>
        <v>916</v>
      </c>
      <c r="I178" s="2">
        <f t="shared" si="7"/>
        <v>46113</v>
      </c>
      <c r="J178" t="str">
        <f t="shared" si="8"/>
        <v>Apr 2026</v>
      </c>
    </row>
    <row r="179" spans="1:10" x14ac:dyDescent="0.3">
      <c r="A179" t="s">
        <v>409</v>
      </c>
      <c r="B179" t="s">
        <v>410</v>
      </c>
      <c r="C179" t="s">
        <v>37</v>
      </c>
      <c r="D179" s="5">
        <v>8</v>
      </c>
      <c r="E179" t="s">
        <v>77</v>
      </c>
      <c r="F179" t="s">
        <v>83</v>
      </c>
      <c r="G179" s="2">
        <f t="shared" si="6"/>
        <v>46109</v>
      </c>
      <c r="H179" cm="1">
        <f t="array" ref="H179">D179*_xlfn.XLOOKUP(C179,Clean_Inventry_Master!A:A,Clean_Inventry_Master!E:E,NOT FOUND,0)</f>
        <v>360</v>
      </c>
      <c r="I179" s="2">
        <f t="shared" si="7"/>
        <v>46082</v>
      </c>
      <c r="J179" t="str">
        <f t="shared" si="8"/>
        <v>Mar 2026</v>
      </c>
    </row>
    <row r="180" spans="1:10" x14ac:dyDescent="0.3">
      <c r="A180" t="s">
        <v>411</v>
      </c>
      <c r="B180" t="s">
        <v>80</v>
      </c>
      <c r="C180" t="s">
        <v>33</v>
      </c>
      <c r="D180" s="5">
        <v>13</v>
      </c>
      <c r="E180" t="s">
        <v>1308</v>
      </c>
      <c r="F180" t="s">
        <v>83</v>
      </c>
      <c r="G180" s="2">
        <f t="shared" si="6"/>
        <v>46266</v>
      </c>
      <c r="H180" cm="1">
        <f t="array" ref="H180">D180*_xlfn.XLOOKUP(C180,Clean_Inventry_Master!A:A,Clean_Inventry_Master!E:E,NOT FOUND,0)</f>
        <v>312</v>
      </c>
      <c r="I180" s="2">
        <f t="shared" si="7"/>
        <v>46266</v>
      </c>
      <c r="J180" t="str">
        <f t="shared" si="8"/>
        <v>Sep 2026</v>
      </c>
    </row>
    <row r="181" spans="1:10" x14ac:dyDescent="0.3">
      <c r="A181" t="s">
        <v>412</v>
      </c>
      <c r="B181" t="s">
        <v>169</v>
      </c>
      <c r="C181" t="s">
        <v>22</v>
      </c>
      <c r="D181" s="5">
        <v>6</v>
      </c>
      <c r="E181" t="s">
        <v>91</v>
      </c>
      <c r="F181" t="s">
        <v>83</v>
      </c>
      <c r="G181" s="2">
        <f t="shared" si="6"/>
        <v>46066</v>
      </c>
      <c r="H181" cm="1">
        <f t="array" ref="H181">D181*_xlfn.XLOOKUP(C181,Clean_Inventry_Master!A:A,Clean_Inventry_Master!E:E,NOT FOUND,0)</f>
        <v>719.93999999999994</v>
      </c>
      <c r="I181" s="2">
        <f t="shared" si="7"/>
        <v>46054</v>
      </c>
      <c r="J181" t="str">
        <f t="shared" si="8"/>
        <v>Feb 2026</v>
      </c>
    </row>
    <row r="182" spans="1:10" x14ac:dyDescent="0.3">
      <c r="A182" t="s">
        <v>413</v>
      </c>
      <c r="B182" t="s">
        <v>414</v>
      </c>
      <c r="C182" t="s">
        <v>66</v>
      </c>
      <c r="D182" s="5">
        <v>10</v>
      </c>
      <c r="E182" t="s">
        <v>77</v>
      </c>
      <c r="F182" t="s">
        <v>78</v>
      </c>
      <c r="G182" s="2">
        <f t="shared" si="6"/>
        <v>46117</v>
      </c>
      <c r="H182" cm="1">
        <f t="array" ref="H182">D182*_xlfn.XLOOKUP(C182,Clean_Inventry_Master!A:A,Clean_Inventry_Master!E:E,NOT FOUND,0)</f>
        <v>349.90000000000003</v>
      </c>
      <c r="I182" s="2">
        <f t="shared" si="7"/>
        <v>46113</v>
      </c>
      <c r="J182" t="str">
        <f t="shared" si="8"/>
        <v>Apr 2026</v>
      </c>
    </row>
    <row r="183" spans="1:10" x14ac:dyDescent="0.3">
      <c r="A183" t="s">
        <v>415</v>
      </c>
      <c r="B183" t="s">
        <v>416</v>
      </c>
      <c r="C183" t="s">
        <v>52</v>
      </c>
      <c r="D183" s="5">
        <v>7</v>
      </c>
      <c r="E183" t="s">
        <v>77</v>
      </c>
      <c r="F183" t="s">
        <v>78</v>
      </c>
      <c r="G183" s="2">
        <f t="shared" si="6"/>
        <v>46145</v>
      </c>
      <c r="H183" cm="1">
        <f t="array" ref="H183">D183*_xlfn.XLOOKUP(C183,Clean_Inventry_Master!A:A,Clean_Inventry_Master!E:E,NOT FOUND,0)</f>
        <v>209.92999999999998</v>
      </c>
      <c r="I183" s="2">
        <f t="shared" si="7"/>
        <v>46143</v>
      </c>
      <c r="J183" t="str">
        <f t="shared" si="8"/>
        <v>May 2026</v>
      </c>
    </row>
    <row r="184" spans="1:10" x14ac:dyDescent="0.3">
      <c r="A184" t="s">
        <v>417</v>
      </c>
      <c r="B184" t="s">
        <v>205</v>
      </c>
      <c r="C184" t="s">
        <v>54</v>
      </c>
      <c r="D184" s="5">
        <v>14</v>
      </c>
      <c r="E184" t="s">
        <v>82</v>
      </c>
      <c r="F184" t="s">
        <v>83</v>
      </c>
      <c r="G184" s="2">
        <f t="shared" si="6"/>
        <v>46124</v>
      </c>
      <c r="H184" cm="1">
        <f t="array" ref="H184">D184*_xlfn.XLOOKUP(C184,Clean_Inventry_Master!A:A,Clean_Inventry_Master!E:E,NOT FOUND,0)</f>
        <v>4899.8600000000006</v>
      </c>
      <c r="I184" s="2">
        <f t="shared" si="7"/>
        <v>46113</v>
      </c>
      <c r="J184" t="str">
        <f t="shared" si="8"/>
        <v>Apr 2026</v>
      </c>
    </row>
    <row r="185" spans="1:10" x14ac:dyDescent="0.3">
      <c r="A185" t="s">
        <v>418</v>
      </c>
      <c r="B185" t="s">
        <v>419</v>
      </c>
      <c r="C185" t="s">
        <v>26</v>
      </c>
      <c r="D185" s="5">
        <v>12</v>
      </c>
      <c r="E185" t="s">
        <v>77</v>
      </c>
      <c r="F185" t="s">
        <v>92</v>
      </c>
      <c r="G185" s="2">
        <f t="shared" si="6"/>
        <v>46114</v>
      </c>
      <c r="H185" cm="1">
        <f t="array" ref="H185">D185*_xlfn.XLOOKUP(C185,Clean_Inventry_Master!A:A,Clean_Inventry_Master!E:E,NOT FOUND,0)</f>
        <v>1079.8799999999999</v>
      </c>
      <c r="I185" s="2">
        <f t="shared" si="7"/>
        <v>46113</v>
      </c>
      <c r="J185" t="str">
        <f t="shared" si="8"/>
        <v>Apr 2026</v>
      </c>
    </row>
    <row r="186" spans="1:10" x14ac:dyDescent="0.3">
      <c r="A186" t="s">
        <v>420</v>
      </c>
      <c r="B186" t="s">
        <v>203</v>
      </c>
      <c r="C186" t="s">
        <v>47</v>
      </c>
      <c r="D186" s="5">
        <v>13</v>
      </c>
      <c r="E186" t="s">
        <v>1308</v>
      </c>
      <c r="F186" t="s">
        <v>92</v>
      </c>
      <c r="G186" s="2">
        <f t="shared" si="6"/>
        <v>46136</v>
      </c>
      <c r="H186" cm="1">
        <f t="array" ref="H186">D186*_xlfn.XLOOKUP(C186,Clean_Inventry_Master!A:A,Clean_Inventry_Master!E:E,NOT FOUND,0)</f>
        <v>1689.8700000000001</v>
      </c>
      <c r="I186" s="2">
        <f t="shared" si="7"/>
        <v>46113</v>
      </c>
      <c r="J186" t="str">
        <f t="shared" si="8"/>
        <v>Apr 2026</v>
      </c>
    </row>
    <row r="187" spans="1:10" x14ac:dyDescent="0.3">
      <c r="A187" t="s">
        <v>421</v>
      </c>
      <c r="B187" t="s">
        <v>422</v>
      </c>
      <c r="C187" t="s">
        <v>14</v>
      </c>
      <c r="D187" s="5">
        <v>11</v>
      </c>
      <c r="E187" t="s">
        <v>77</v>
      </c>
      <c r="F187" t="s">
        <v>78</v>
      </c>
      <c r="G187" s="2">
        <f t="shared" si="6"/>
        <v>46059</v>
      </c>
      <c r="H187" cm="1">
        <f t="array" ref="H187">D187*_xlfn.XLOOKUP(C187,Clean_Inventry_Master!A:A,Clean_Inventry_Master!E:E,NOT FOUND,0)</f>
        <v>385</v>
      </c>
      <c r="I187" s="2">
        <f t="shared" si="7"/>
        <v>46054</v>
      </c>
      <c r="J187" t="str">
        <f t="shared" si="8"/>
        <v>Feb 2026</v>
      </c>
    </row>
    <row r="188" spans="1:10" x14ac:dyDescent="0.3">
      <c r="A188" t="s">
        <v>423</v>
      </c>
      <c r="B188" t="s">
        <v>424</v>
      </c>
      <c r="C188" t="s">
        <v>60</v>
      </c>
      <c r="D188" s="5">
        <v>4</v>
      </c>
      <c r="E188" t="s">
        <v>91</v>
      </c>
      <c r="F188" t="s">
        <v>83</v>
      </c>
      <c r="G188" s="2">
        <f t="shared" si="6"/>
        <v>46180</v>
      </c>
      <c r="H188" cm="1">
        <f t="array" ref="H188">D188*_xlfn.XLOOKUP(C188,Clean_Inventry_Master!A:A,Clean_Inventry_Master!E:E,NOT FOUND,0)</f>
        <v>359.96</v>
      </c>
      <c r="I188" s="2">
        <f t="shared" si="7"/>
        <v>46174</v>
      </c>
      <c r="J188" t="str">
        <f t="shared" si="8"/>
        <v>Jun 2026</v>
      </c>
    </row>
    <row r="189" spans="1:10" x14ac:dyDescent="0.3">
      <c r="A189" t="s">
        <v>425</v>
      </c>
      <c r="B189" t="s">
        <v>171</v>
      </c>
      <c r="C189" t="s">
        <v>45</v>
      </c>
      <c r="D189" s="5">
        <v>4</v>
      </c>
      <c r="E189" t="s">
        <v>91</v>
      </c>
      <c r="F189" t="s">
        <v>92</v>
      </c>
      <c r="G189" s="2">
        <f t="shared" si="6"/>
        <v>46139</v>
      </c>
      <c r="H189" cm="1">
        <f t="array" ref="H189">D189*_xlfn.XLOOKUP(C189,Clean_Inventry_Master!A:A,Clean_Inventry_Master!E:E,NOT FOUND,0)</f>
        <v>75.959999999999994</v>
      </c>
      <c r="I189" s="2">
        <f t="shared" si="7"/>
        <v>46113</v>
      </c>
      <c r="J189" t="str">
        <f t="shared" si="8"/>
        <v>Apr 2026</v>
      </c>
    </row>
    <row r="190" spans="1:10" x14ac:dyDescent="0.3">
      <c r="A190" t="s">
        <v>426</v>
      </c>
      <c r="B190" t="s">
        <v>96</v>
      </c>
      <c r="C190" t="s">
        <v>33</v>
      </c>
      <c r="D190" s="5">
        <v>10</v>
      </c>
      <c r="E190" t="s">
        <v>1308</v>
      </c>
      <c r="F190" t="s">
        <v>92</v>
      </c>
      <c r="G190" s="2">
        <f t="shared" si="6"/>
        <v>46148</v>
      </c>
      <c r="H190" cm="1">
        <f t="array" ref="H190">D190*_xlfn.XLOOKUP(C190,Clean_Inventry_Master!A:A,Clean_Inventry_Master!E:E,NOT FOUND,0)</f>
        <v>240</v>
      </c>
      <c r="I190" s="2">
        <f t="shared" si="7"/>
        <v>46143</v>
      </c>
      <c r="J190" t="str">
        <f t="shared" si="8"/>
        <v>May 2026</v>
      </c>
    </row>
    <row r="191" spans="1:10" x14ac:dyDescent="0.3">
      <c r="A191" t="s">
        <v>427</v>
      </c>
      <c r="B191" t="s">
        <v>80</v>
      </c>
      <c r="C191" t="s">
        <v>66</v>
      </c>
      <c r="D191" s="5">
        <v>8</v>
      </c>
      <c r="E191" t="s">
        <v>77</v>
      </c>
      <c r="F191" t="s">
        <v>78</v>
      </c>
      <c r="G191" s="2">
        <f t="shared" si="6"/>
        <v>46266</v>
      </c>
      <c r="H191" cm="1">
        <f t="array" ref="H191">D191*_xlfn.XLOOKUP(C191,Clean_Inventry_Master!A:A,Clean_Inventry_Master!E:E,NOT FOUND,0)</f>
        <v>279.92</v>
      </c>
      <c r="I191" s="2">
        <f t="shared" si="7"/>
        <v>46266</v>
      </c>
      <c r="J191" t="str">
        <f t="shared" si="8"/>
        <v>Sep 2026</v>
      </c>
    </row>
    <row r="192" spans="1:10" x14ac:dyDescent="0.3">
      <c r="A192" t="s">
        <v>428</v>
      </c>
      <c r="B192" t="s">
        <v>429</v>
      </c>
      <c r="C192" t="s">
        <v>66</v>
      </c>
      <c r="D192" s="5">
        <v>2</v>
      </c>
      <c r="E192" t="s">
        <v>82</v>
      </c>
      <c r="F192" t="s">
        <v>78</v>
      </c>
      <c r="G192" s="2">
        <f t="shared" si="6"/>
        <v>46278</v>
      </c>
      <c r="H192" cm="1">
        <f t="array" ref="H192">D192*_xlfn.XLOOKUP(C192,Clean_Inventry_Master!A:A,Clean_Inventry_Master!E:E,NOT FOUND,0)</f>
        <v>69.98</v>
      </c>
      <c r="I192" s="2">
        <f t="shared" si="7"/>
        <v>46266</v>
      </c>
      <c r="J192" t="str">
        <f t="shared" si="8"/>
        <v>Sep 2026</v>
      </c>
    </row>
    <row r="193" spans="1:10" x14ac:dyDescent="0.3">
      <c r="A193" t="s">
        <v>430</v>
      </c>
      <c r="B193" t="s">
        <v>431</v>
      </c>
      <c r="C193" t="s">
        <v>45</v>
      </c>
      <c r="D193" s="5">
        <v>6</v>
      </c>
      <c r="E193" t="s">
        <v>82</v>
      </c>
      <c r="F193" t="s">
        <v>78</v>
      </c>
      <c r="G193" s="2">
        <f t="shared" si="6"/>
        <v>46231</v>
      </c>
      <c r="H193" cm="1">
        <f t="array" ref="H193">D193*_xlfn.XLOOKUP(C193,Clean_Inventry_Master!A:A,Clean_Inventry_Master!E:E,NOT FOUND,0)</f>
        <v>113.94</v>
      </c>
      <c r="I193" s="2">
        <f t="shared" si="7"/>
        <v>46204</v>
      </c>
      <c r="J193" t="str">
        <f t="shared" si="8"/>
        <v>Jul 2026</v>
      </c>
    </row>
    <row r="194" spans="1:10" x14ac:dyDescent="0.3">
      <c r="A194" t="s">
        <v>432</v>
      </c>
      <c r="B194" t="s">
        <v>132</v>
      </c>
      <c r="C194" t="s">
        <v>28</v>
      </c>
      <c r="D194" s="5">
        <v>10</v>
      </c>
      <c r="E194" t="s">
        <v>82</v>
      </c>
      <c r="F194" t="s">
        <v>92</v>
      </c>
      <c r="G194" s="2">
        <f t="shared" ref="G194:G257" si="9">IF(ISNUMBER(SEARCH("-", B194)), DATEVALUE(B194), DATE(RIGHT(B194,4), LEFT(B194, FIND("/", B194)-1), MID(B194, FIND("/", B194)+1, FIND("/", B194, FIND("/", B194)+1) - FIND("/", B194) - 1)))</f>
        <v>46094</v>
      </c>
      <c r="H194" cm="1">
        <f t="array" ref="H194">D194*_xlfn.XLOOKUP(C194,Clean_Inventry_Master!A:A,Clean_Inventry_Master!E:E,NOT FOUND,0)</f>
        <v>1800</v>
      </c>
      <c r="I194" s="2">
        <f t="shared" ref="I194:I257" si="10">DATE(YEAR(G194),MONTH(G194),1)</f>
        <v>46082</v>
      </c>
      <c r="J194" t="str">
        <f t="shared" ref="J194:J257" si="11">TEXT(I194,"mmm yyyy")</f>
        <v>Mar 2026</v>
      </c>
    </row>
    <row r="195" spans="1:10" x14ac:dyDescent="0.3">
      <c r="A195" t="s">
        <v>433</v>
      </c>
      <c r="B195" t="s">
        <v>328</v>
      </c>
      <c r="C195" t="s">
        <v>31</v>
      </c>
      <c r="D195" s="5">
        <v>4</v>
      </c>
      <c r="E195" t="s">
        <v>91</v>
      </c>
      <c r="F195" t="s">
        <v>92</v>
      </c>
      <c r="G195" s="2">
        <f t="shared" si="9"/>
        <v>46076</v>
      </c>
      <c r="H195" cm="1">
        <f t="array" ref="H195">D195*_xlfn.XLOOKUP(C195,Clean_Inventry_Master!A:A,Clean_Inventry_Master!E:E,NOT FOUND,0)</f>
        <v>60</v>
      </c>
      <c r="I195" s="2">
        <f t="shared" si="10"/>
        <v>46054</v>
      </c>
      <c r="J195" t="str">
        <f t="shared" si="11"/>
        <v>Feb 2026</v>
      </c>
    </row>
    <row r="196" spans="1:10" x14ac:dyDescent="0.3">
      <c r="A196" t="s">
        <v>434</v>
      </c>
      <c r="B196" t="s">
        <v>118</v>
      </c>
      <c r="C196" t="s">
        <v>33</v>
      </c>
      <c r="D196" s="5">
        <v>13</v>
      </c>
      <c r="E196" t="s">
        <v>82</v>
      </c>
      <c r="F196" t="s">
        <v>83</v>
      </c>
      <c r="G196" s="2">
        <f t="shared" si="9"/>
        <v>46209</v>
      </c>
      <c r="H196" cm="1">
        <f t="array" ref="H196">D196*_xlfn.XLOOKUP(C196,Clean_Inventry_Master!A:A,Clean_Inventry_Master!E:E,NOT FOUND,0)</f>
        <v>312</v>
      </c>
      <c r="I196" s="2">
        <f t="shared" si="10"/>
        <v>46204</v>
      </c>
      <c r="J196" t="str">
        <f t="shared" si="11"/>
        <v>Jul 2026</v>
      </c>
    </row>
    <row r="197" spans="1:10" x14ac:dyDescent="0.3">
      <c r="A197" t="s">
        <v>435</v>
      </c>
      <c r="B197" t="s">
        <v>436</v>
      </c>
      <c r="C197" t="s">
        <v>54</v>
      </c>
      <c r="D197" s="5">
        <v>10</v>
      </c>
      <c r="E197" t="s">
        <v>77</v>
      </c>
      <c r="F197" t="s">
        <v>83</v>
      </c>
      <c r="G197" s="2">
        <f t="shared" si="9"/>
        <v>46263</v>
      </c>
      <c r="H197" cm="1">
        <f t="array" ref="H197">D197*_xlfn.XLOOKUP(C197,Clean_Inventry_Master!A:A,Clean_Inventry_Master!E:E,NOT FOUND,0)</f>
        <v>3499.9</v>
      </c>
      <c r="I197" s="2">
        <f t="shared" si="10"/>
        <v>46235</v>
      </c>
      <c r="J197" t="str">
        <f t="shared" si="11"/>
        <v>Aug 2026</v>
      </c>
    </row>
    <row r="198" spans="1:10" x14ac:dyDescent="0.3">
      <c r="A198" t="s">
        <v>437</v>
      </c>
      <c r="B198" t="s">
        <v>147</v>
      </c>
      <c r="C198" t="s">
        <v>37</v>
      </c>
      <c r="D198" s="5">
        <v>1</v>
      </c>
      <c r="E198" t="s">
        <v>1308</v>
      </c>
      <c r="F198" t="s">
        <v>78</v>
      </c>
      <c r="G198" s="2">
        <f t="shared" si="9"/>
        <v>46154</v>
      </c>
      <c r="H198" cm="1">
        <f t="array" ref="H198">D198*_xlfn.XLOOKUP(C198,Clean_Inventry_Master!A:A,Clean_Inventry_Master!E:E,NOT FOUND,0)</f>
        <v>45</v>
      </c>
      <c r="I198" s="2">
        <f t="shared" si="10"/>
        <v>46143</v>
      </c>
      <c r="J198" t="str">
        <f t="shared" si="11"/>
        <v>May 2026</v>
      </c>
    </row>
    <row r="199" spans="1:10" x14ac:dyDescent="0.3">
      <c r="A199" t="s">
        <v>438</v>
      </c>
      <c r="B199" t="s">
        <v>439</v>
      </c>
      <c r="C199" t="s">
        <v>52</v>
      </c>
      <c r="D199" s="5">
        <v>3</v>
      </c>
      <c r="E199" t="s">
        <v>1308</v>
      </c>
      <c r="F199" t="s">
        <v>83</v>
      </c>
      <c r="G199" s="2">
        <f t="shared" si="9"/>
        <v>46119</v>
      </c>
      <c r="H199" cm="1">
        <f t="array" ref="H199">D199*_xlfn.XLOOKUP(C199,Clean_Inventry_Master!A:A,Clean_Inventry_Master!E:E,NOT FOUND,0)</f>
        <v>89.97</v>
      </c>
      <c r="I199" s="2">
        <f t="shared" si="10"/>
        <v>46113</v>
      </c>
      <c r="J199" t="str">
        <f t="shared" si="11"/>
        <v>Apr 2026</v>
      </c>
    </row>
    <row r="200" spans="1:10" x14ac:dyDescent="0.3">
      <c r="A200" t="s">
        <v>440</v>
      </c>
      <c r="B200" t="s">
        <v>441</v>
      </c>
      <c r="C200" t="s">
        <v>62</v>
      </c>
      <c r="D200" s="5">
        <v>7</v>
      </c>
      <c r="E200" t="s">
        <v>77</v>
      </c>
      <c r="F200" t="s">
        <v>83</v>
      </c>
      <c r="G200" s="2">
        <f t="shared" si="9"/>
        <v>46218</v>
      </c>
      <c r="H200" cm="1">
        <f t="array" ref="H200">D200*_xlfn.XLOOKUP(C200,Clean_Inventry_Master!A:A,Clean_Inventry_Master!E:E,NOT FOUND,0)</f>
        <v>192.5</v>
      </c>
      <c r="I200" s="2">
        <f t="shared" si="10"/>
        <v>46204</v>
      </c>
      <c r="J200" t="str">
        <f t="shared" si="11"/>
        <v>Jul 2026</v>
      </c>
    </row>
    <row r="201" spans="1:10" x14ac:dyDescent="0.3">
      <c r="A201" t="s">
        <v>442</v>
      </c>
      <c r="B201" t="s">
        <v>111</v>
      </c>
      <c r="C201" t="s">
        <v>31</v>
      </c>
      <c r="D201" s="5">
        <v>5</v>
      </c>
      <c r="E201" t="s">
        <v>91</v>
      </c>
      <c r="F201" t="s">
        <v>83</v>
      </c>
      <c r="G201" s="2">
        <f t="shared" si="9"/>
        <v>46207</v>
      </c>
      <c r="H201" cm="1">
        <f t="array" ref="H201">D201*_xlfn.XLOOKUP(C201,Clean_Inventry_Master!A:A,Clean_Inventry_Master!E:E,NOT FOUND,0)</f>
        <v>75</v>
      </c>
      <c r="I201" s="2">
        <f t="shared" si="10"/>
        <v>46204</v>
      </c>
      <c r="J201" t="str">
        <f t="shared" si="11"/>
        <v>Jul 2026</v>
      </c>
    </row>
    <row r="202" spans="1:10" x14ac:dyDescent="0.3">
      <c r="A202" t="s">
        <v>443</v>
      </c>
      <c r="B202" t="s">
        <v>444</v>
      </c>
      <c r="C202" t="s">
        <v>35</v>
      </c>
      <c r="D202" s="5">
        <v>4</v>
      </c>
      <c r="E202" t="s">
        <v>91</v>
      </c>
      <c r="F202" t="s">
        <v>83</v>
      </c>
      <c r="G202" s="2">
        <f t="shared" si="9"/>
        <v>46201</v>
      </c>
      <c r="H202" cm="1">
        <f t="array" ref="H202">D202*_xlfn.XLOOKUP(C202,Clean_Inventry_Master!A:A,Clean_Inventry_Master!E:E,NOT FOUND,0)</f>
        <v>39.96</v>
      </c>
      <c r="I202" s="2">
        <f t="shared" si="10"/>
        <v>46174</v>
      </c>
      <c r="J202" t="str">
        <f t="shared" si="11"/>
        <v>Jun 2026</v>
      </c>
    </row>
    <row r="203" spans="1:10" x14ac:dyDescent="0.3">
      <c r="A203" t="s">
        <v>445</v>
      </c>
      <c r="B203" t="s">
        <v>446</v>
      </c>
      <c r="C203" t="s">
        <v>39</v>
      </c>
      <c r="D203" s="5">
        <v>13</v>
      </c>
      <c r="E203" t="s">
        <v>1308</v>
      </c>
      <c r="F203" t="s">
        <v>92</v>
      </c>
      <c r="G203" s="2">
        <f t="shared" si="9"/>
        <v>46261</v>
      </c>
      <c r="H203" cm="1">
        <f t="array" ref="H203">D203*_xlfn.XLOOKUP(C203,Clean_Inventry_Master!A:A,Clean_Inventry_Master!E:E,NOT FOUND,0)</f>
        <v>285.87</v>
      </c>
      <c r="I203" s="2">
        <f t="shared" si="10"/>
        <v>46235</v>
      </c>
      <c r="J203" t="str">
        <f t="shared" si="11"/>
        <v>Aug 2026</v>
      </c>
    </row>
    <row r="204" spans="1:10" x14ac:dyDescent="0.3">
      <c r="A204" t="s">
        <v>447</v>
      </c>
      <c r="B204" t="s">
        <v>448</v>
      </c>
      <c r="C204" t="s">
        <v>31</v>
      </c>
      <c r="D204" s="5">
        <v>11</v>
      </c>
      <c r="E204" t="s">
        <v>82</v>
      </c>
      <c r="F204" t="s">
        <v>92</v>
      </c>
      <c r="G204" s="2">
        <f t="shared" si="9"/>
        <v>46191</v>
      </c>
      <c r="H204" cm="1">
        <f t="array" ref="H204">D204*_xlfn.XLOOKUP(C204,Clean_Inventry_Master!A:A,Clean_Inventry_Master!E:E,NOT FOUND,0)</f>
        <v>165</v>
      </c>
      <c r="I204" s="2">
        <f t="shared" si="10"/>
        <v>46174</v>
      </c>
      <c r="J204" t="str">
        <f t="shared" si="11"/>
        <v>Jun 2026</v>
      </c>
    </row>
    <row r="205" spans="1:10" x14ac:dyDescent="0.3">
      <c r="A205" t="s">
        <v>449</v>
      </c>
      <c r="B205" t="s">
        <v>118</v>
      </c>
      <c r="C205" t="s">
        <v>12</v>
      </c>
      <c r="D205" s="5">
        <v>9</v>
      </c>
      <c r="E205" t="s">
        <v>82</v>
      </c>
      <c r="F205" t="s">
        <v>92</v>
      </c>
      <c r="G205" s="2">
        <f t="shared" si="9"/>
        <v>46209</v>
      </c>
      <c r="H205" cm="1">
        <f t="array" ref="H205">D205*_xlfn.XLOOKUP(C205,Clean_Inventry_Master!A:A,Clean_Inventry_Master!E:E,NOT FOUND,0)</f>
        <v>855</v>
      </c>
      <c r="I205" s="2">
        <f t="shared" si="10"/>
        <v>46204</v>
      </c>
      <c r="J205" t="str">
        <f t="shared" si="11"/>
        <v>Jul 2026</v>
      </c>
    </row>
    <row r="206" spans="1:10" x14ac:dyDescent="0.3">
      <c r="A206" t="s">
        <v>450</v>
      </c>
      <c r="B206" t="s">
        <v>368</v>
      </c>
      <c r="C206" t="s">
        <v>66</v>
      </c>
      <c r="D206" s="5">
        <v>12</v>
      </c>
      <c r="E206" t="s">
        <v>91</v>
      </c>
      <c r="F206" t="s">
        <v>78</v>
      </c>
      <c r="G206" s="2">
        <f t="shared" si="9"/>
        <v>46295</v>
      </c>
      <c r="H206" cm="1">
        <f t="array" ref="H206">D206*_xlfn.XLOOKUP(C206,Clean_Inventry_Master!A:A,Clean_Inventry_Master!E:E,NOT FOUND,0)</f>
        <v>419.88</v>
      </c>
      <c r="I206" s="2">
        <f t="shared" si="10"/>
        <v>46266</v>
      </c>
      <c r="J206" t="str">
        <f t="shared" si="11"/>
        <v>Sep 2026</v>
      </c>
    </row>
    <row r="207" spans="1:10" x14ac:dyDescent="0.3">
      <c r="A207" t="s">
        <v>451</v>
      </c>
      <c r="B207" t="s">
        <v>452</v>
      </c>
      <c r="C207" t="s">
        <v>24</v>
      </c>
      <c r="D207" s="5">
        <v>4</v>
      </c>
      <c r="E207" t="s">
        <v>82</v>
      </c>
      <c r="F207" t="s">
        <v>92</v>
      </c>
      <c r="G207" s="2">
        <f t="shared" si="9"/>
        <v>46041</v>
      </c>
      <c r="H207" cm="1">
        <f t="array" ref="H207">D207*_xlfn.XLOOKUP(C207,Clean_Inventry_Master!A:A,Clean_Inventry_Master!E:E,NOT FOUND,0)</f>
        <v>559.96</v>
      </c>
      <c r="I207" s="2">
        <f t="shared" si="10"/>
        <v>46023</v>
      </c>
      <c r="J207" t="str">
        <f t="shared" si="11"/>
        <v>Jan 2026</v>
      </c>
    </row>
    <row r="208" spans="1:10" x14ac:dyDescent="0.3">
      <c r="A208" t="s">
        <v>453</v>
      </c>
      <c r="B208" t="s">
        <v>454</v>
      </c>
      <c r="C208" t="s">
        <v>58</v>
      </c>
      <c r="D208" s="5">
        <v>12</v>
      </c>
      <c r="E208" t="s">
        <v>1308</v>
      </c>
      <c r="F208" t="s">
        <v>92</v>
      </c>
      <c r="G208" s="2">
        <f t="shared" si="9"/>
        <v>46151</v>
      </c>
      <c r="H208" cm="1">
        <f t="array" ref="H208">D208*_xlfn.XLOOKUP(C208,Clean_Inventry_Master!A:A,Clean_Inventry_Master!E:E,NOT FOUND,0)</f>
        <v>719.88</v>
      </c>
      <c r="I208" s="2">
        <f t="shared" si="10"/>
        <v>46143</v>
      </c>
      <c r="J208" t="str">
        <f t="shared" si="11"/>
        <v>May 2026</v>
      </c>
    </row>
    <row r="209" spans="1:10" x14ac:dyDescent="0.3">
      <c r="A209" t="s">
        <v>455</v>
      </c>
      <c r="B209" t="s">
        <v>456</v>
      </c>
      <c r="C209" t="s">
        <v>64</v>
      </c>
      <c r="D209" s="5">
        <v>14</v>
      </c>
      <c r="E209" t="s">
        <v>1308</v>
      </c>
      <c r="F209" t="s">
        <v>92</v>
      </c>
      <c r="G209" s="2">
        <f t="shared" si="9"/>
        <v>46162</v>
      </c>
      <c r="H209" cm="1">
        <f t="array" ref="H209">D209*_xlfn.XLOOKUP(C209,Clean_Inventry_Master!A:A,Clean_Inventry_Master!E:E,NOT FOUND,0)</f>
        <v>279.85999999999996</v>
      </c>
      <c r="I209" s="2">
        <f t="shared" si="10"/>
        <v>46143</v>
      </c>
      <c r="J209" t="str">
        <f t="shared" si="11"/>
        <v>May 2026</v>
      </c>
    </row>
    <row r="210" spans="1:10" x14ac:dyDescent="0.3">
      <c r="A210" t="s">
        <v>457</v>
      </c>
      <c r="B210" t="s">
        <v>458</v>
      </c>
      <c r="C210" t="s">
        <v>10</v>
      </c>
      <c r="D210" s="5">
        <v>10</v>
      </c>
      <c r="E210" t="s">
        <v>91</v>
      </c>
      <c r="F210" t="s">
        <v>92</v>
      </c>
      <c r="G210" s="2">
        <f t="shared" si="9"/>
        <v>46214</v>
      </c>
      <c r="H210" cm="1">
        <f t="array" ref="H210">D210*_xlfn.XLOOKUP(C210,Clean_Inventry_Master!A:A,Clean_Inventry_Master!E:E,NOT FOUND,0)</f>
        <v>4990</v>
      </c>
      <c r="I210" s="2">
        <f t="shared" si="10"/>
        <v>46204</v>
      </c>
      <c r="J210" t="str">
        <f t="shared" si="11"/>
        <v>Jul 2026</v>
      </c>
    </row>
    <row r="211" spans="1:10" x14ac:dyDescent="0.3">
      <c r="A211" t="s">
        <v>459</v>
      </c>
      <c r="B211" t="s">
        <v>460</v>
      </c>
      <c r="C211" t="s">
        <v>28</v>
      </c>
      <c r="D211" s="5">
        <v>2</v>
      </c>
      <c r="E211" t="s">
        <v>91</v>
      </c>
      <c r="F211" t="s">
        <v>78</v>
      </c>
      <c r="G211" s="2">
        <f t="shared" si="9"/>
        <v>46289</v>
      </c>
      <c r="H211" cm="1">
        <f t="array" ref="H211">D211*_xlfn.XLOOKUP(C211,Clean_Inventry_Master!A:A,Clean_Inventry_Master!E:E,NOT FOUND,0)</f>
        <v>360</v>
      </c>
      <c r="I211" s="2">
        <f t="shared" si="10"/>
        <v>46266</v>
      </c>
      <c r="J211" t="str">
        <f t="shared" si="11"/>
        <v>Sep 2026</v>
      </c>
    </row>
    <row r="212" spans="1:10" x14ac:dyDescent="0.3">
      <c r="A212" t="s">
        <v>461</v>
      </c>
      <c r="B212" t="s">
        <v>462</v>
      </c>
      <c r="C212" t="s">
        <v>7</v>
      </c>
      <c r="D212" s="5">
        <v>7</v>
      </c>
      <c r="E212" t="s">
        <v>91</v>
      </c>
      <c r="F212" t="s">
        <v>92</v>
      </c>
      <c r="G212" s="2">
        <f t="shared" si="9"/>
        <v>46152</v>
      </c>
      <c r="H212" cm="1">
        <f t="array" ref="H212">D212*_xlfn.XLOOKUP(C212,Clean_Inventry_Master!A:A,Clean_Inventry_Master!E:E,NOT FOUND,0)</f>
        <v>315</v>
      </c>
      <c r="I212" s="2">
        <f t="shared" si="10"/>
        <v>46143</v>
      </c>
      <c r="J212" t="str">
        <f t="shared" si="11"/>
        <v>May 2026</v>
      </c>
    </row>
    <row r="213" spans="1:10" x14ac:dyDescent="0.3">
      <c r="A213" t="s">
        <v>464</v>
      </c>
      <c r="B213" t="s">
        <v>465</v>
      </c>
      <c r="C213" t="s">
        <v>12</v>
      </c>
      <c r="D213" s="5">
        <v>9</v>
      </c>
      <c r="E213" t="s">
        <v>82</v>
      </c>
      <c r="F213" t="s">
        <v>83</v>
      </c>
      <c r="G213" s="2">
        <f t="shared" si="9"/>
        <v>46268</v>
      </c>
      <c r="H213" cm="1">
        <f t="array" ref="H213">D213*_xlfn.XLOOKUP(C213,Clean_Inventry_Master!A:A,Clean_Inventry_Master!E:E,NOT FOUND,0)</f>
        <v>855</v>
      </c>
      <c r="I213" s="2">
        <f t="shared" si="10"/>
        <v>46266</v>
      </c>
      <c r="J213" t="str">
        <f t="shared" si="11"/>
        <v>Sep 2026</v>
      </c>
    </row>
    <row r="214" spans="1:10" x14ac:dyDescent="0.3">
      <c r="A214" t="s">
        <v>466</v>
      </c>
      <c r="B214" t="s">
        <v>467</v>
      </c>
      <c r="C214" t="s">
        <v>66</v>
      </c>
      <c r="D214" s="5">
        <v>1</v>
      </c>
      <c r="E214" t="s">
        <v>77</v>
      </c>
      <c r="F214" t="s">
        <v>83</v>
      </c>
      <c r="G214" s="2">
        <f t="shared" si="9"/>
        <v>46054</v>
      </c>
      <c r="H214" cm="1">
        <f t="array" ref="H214">D214*_xlfn.XLOOKUP(C214,Clean_Inventry_Master!A:A,Clean_Inventry_Master!E:E,NOT FOUND,0)</f>
        <v>34.99</v>
      </c>
      <c r="I214" s="2">
        <f t="shared" si="10"/>
        <v>46054</v>
      </c>
      <c r="J214" t="str">
        <f t="shared" si="11"/>
        <v>Feb 2026</v>
      </c>
    </row>
    <row r="215" spans="1:10" x14ac:dyDescent="0.3">
      <c r="A215" t="s">
        <v>468</v>
      </c>
      <c r="B215" t="s">
        <v>469</v>
      </c>
      <c r="C215" t="s">
        <v>41</v>
      </c>
      <c r="D215" s="5">
        <v>11</v>
      </c>
      <c r="E215" t="s">
        <v>1308</v>
      </c>
      <c r="F215" t="s">
        <v>83</v>
      </c>
      <c r="G215" s="2">
        <f t="shared" si="9"/>
        <v>46208</v>
      </c>
      <c r="H215" cm="1">
        <f t="array" ref="H215">D215*_xlfn.XLOOKUP(C215,Clean_Inventry_Master!A:A,Clean_Inventry_Master!E:E,NOT FOUND,0)</f>
        <v>439.89000000000004</v>
      </c>
      <c r="I215" s="2">
        <f t="shared" si="10"/>
        <v>46204</v>
      </c>
      <c r="J215" t="str">
        <f t="shared" si="11"/>
        <v>Jul 2026</v>
      </c>
    </row>
    <row r="216" spans="1:10" x14ac:dyDescent="0.3">
      <c r="A216" t="s">
        <v>470</v>
      </c>
      <c r="B216" t="s">
        <v>471</v>
      </c>
      <c r="C216" t="s">
        <v>47</v>
      </c>
      <c r="D216" s="5">
        <v>8</v>
      </c>
      <c r="E216" t="s">
        <v>82</v>
      </c>
      <c r="F216" t="s">
        <v>78</v>
      </c>
      <c r="G216" s="2">
        <f t="shared" si="9"/>
        <v>46277</v>
      </c>
      <c r="H216" cm="1">
        <f t="array" ref="H216">D216*_xlfn.XLOOKUP(C216,Clean_Inventry_Master!A:A,Clean_Inventry_Master!E:E,NOT FOUND,0)</f>
        <v>1039.92</v>
      </c>
      <c r="I216" s="2">
        <f t="shared" si="10"/>
        <v>46266</v>
      </c>
      <c r="J216" t="str">
        <f t="shared" si="11"/>
        <v>Sep 2026</v>
      </c>
    </row>
    <row r="217" spans="1:10" x14ac:dyDescent="0.3">
      <c r="A217" t="s">
        <v>473</v>
      </c>
      <c r="B217" t="s">
        <v>471</v>
      </c>
      <c r="C217" t="s">
        <v>12</v>
      </c>
      <c r="D217" s="5">
        <v>5</v>
      </c>
      <c r="E217" t="s">
        <v>1308</v>
      </c>
      <c r="F217" t="s">
        <v>83</v>
      </c>
      <c r="G217" s="2">
        <f t="shared" si="9"/>
        <v>46277</v>
      </c>
      <c r="H217" cm="1">
        <f t="array" ref="H217">D217*_xlfn.XLOOKUP(C217,Clean_Inventry_Master!A:A,Clean_Inventry_Master!E:E,NOT FOUND,0)</f>
        <v>475</v>
      </c>
      <c r="I217" s="2">
        <f t="shared" si="10"/>
        <v>46266</v>
      </c>
      <c r="J217" t="str">
        <f t="shared" si="11"/>
        <v>Sep 2026</v>
      </c>
    </row>
    <row r="218" spans="1:10" x14ac:dyDescent="0.3">
      <c r="A218" t="s">
        <v>474</v>
      </c>
      <c r="B218" t="s">
        <v>187</v>
      </c>
      <c r="C218" t="s">
        <v>43</v>
      </c>
      <c r="D218" s="5">
        <v>4</v>
      </c>
      <c r="E218" t="s">
        <v>77</v>
      </c>
      <c r="F218" t="s">
        <v>83</v>
      </c>
      <c r="G218" s="2">
        <f t="shared" si="9"/>
        <v>46121</v>
      </c>
      <c r="H218" cm="1">
        <f t="array" ref="H218">D218*_xlfn.XLOOKUP(C218,Clean_Inventry_Master!A:A,Clean_Inventry_Master!E:E,NOT FOUND,0)</f>
        <v>34</v>
      </c>
      <c r="I218" s="2">
        <f t="shared" si="10"/>
        <v>46113</v>
      </c>
      <c r="J218" t="str">
        <f t="shared" si="11"/>
        <v>Apr 2026</v>
      </c>
    </row>
    <row r="219" spans="1:10" x14ac:dyDescent="0.3">
      <c r="A219" t="s">
        <v>475</v>
      </c>
      <c r="B219" t="s">
        <v>121</v>
      </c>
      <c r="C219" t="s">
        <v>18</v>
      </c>
      <c r="D219" s="5">
        <v>14</v>
      </c>
      <c r="E219" t="s">
        <v>1308</v>
      </c>
      <c r="F219" t="s">
        <v>83</v>
      </c>
      <c r="G219" s="2">
        <f t="shared" si="9"/>
        <v>46237</v>
      </c>
      <c r="H219" cm="1">
        <f t="array" ref="H219">D219*_xlfn.XLOOKUP(C219,Clean_Inventry_Master!A:A,Clean_Inventry_Master!E:E,NOT FOUND,0)</f>
        <v>979.8599999999999</v>
      </c>
      <c r="I219" s="2">
        <f t="shared" si="10"/>
        <v>46235</v>
      </c>
      <c r="J219" t="str">
        <f t="shared" si="11"/>
        <v>Aug 2026</v>
      </c>
    </row>
    <row r="220" spans="1:10" x14ac:dyDescent="0.3">
      <c r="A220" t="s">
        <v>476</v>
      </c>
      <c r="B220" t="s">
        <v>477</v>
      </c>
      <c r="C220" t="s">
        <v>26</v>
      </c>
      <c r="D220" s="5">
        <v>3</v>
      </c>
      <c r="E220" t="s">
        <v>1308</v>
      </c>
      <c r="F220" t="s">
        <v>92</v>
      </c>
      <c r="G220" s="2">
        <f t="shared" si="9"/>
        <v>46112</v>
      </c>
      <c r="H220" cm="1">
        <f t="array" ref="H220">D220*_xlfn.XLOOKUP(C220,Clean_Inventry_Master!A:A,Clean_Inventry_Master!E:E,NOT FOUND,0)</f>
        <v>269.96999999999997</v>
      </c>
      <c r="I220" s="2">
        <f t="shared" si="10"/>
        <v>46082</v>
      </c>
      <c r="J220" t="str">
        <f t="shared" si="11"/>
        <v>Mar 2026</v>
      </c>
    </row>
    <row r="221" spans="1:10" x14ac:dyDescent="0.3">
      <c r="A221" t="s">
        <v>478</v>
      </c>
      <c r="B221" t="s">
        <v>479</v>
      </c>
      <c r="C221" t="s">
        <v>26</v>
      </c>
      <c r="D221" s="5">
        <v>4</v>
      </c>
      <c r="E221" t="s">
        <v>77</v>
      </c>
      <c r="F221" t="s">
        <v>83</v>
      </c>
      <c r="G221" s="2">
        <f t="shared" si="9"/>
        <v>46136</v>
      </c>
      <c r="H221" cm="1">
        <f t="array" ref="H221">D221*_xlfn.XLOOKUP(C221,Clean_Inventry_Master!A:A,Clean_Inventry_Master!E:E,NOT FOUND,0)</f>
        <v>359.96</v>
      </c>
      <c r="I221" s="2">
        <f t="shared" si="10"/>
        <v>46113</v>
      </c>
      <c r="J221" t="str">
        <f t="shared" si="11"/>
        <v>Apr 2026</v>
      </c>
    </row>
    <row r="222" spans="1:10" x14ac:dyDescent="0.3">
      <c r="A222" t="s">
        <v>480</v>
      </c>
      <c r="B222" t="s">
        <v>481</v>
      </c>
      <c r="C222" t="s">
        <v>12</v>
      </c>
      <c r="D222" s="5">
        <v>4</v>
      </c>
      <c r="E222" t="s">
        <v>1308</v>
      </c>
      <c r="F222" t="s">
        <v>92</v>
      </c>
      <c r="G222" s="2">
        <f t="shared" si="9"/>
        <v>46216</v>
      </c>
      <c r="H222" cm="1">
        <f t="array" ref="H222">D222*_xlfn.XLOOKUP(C222,Clean_Inventry_Master!A:A,Clean_Inventry_Master!E:E,NOT FOUND,0)</f>
        <v>380</v>
      </c>
      <c r="I222" s="2">
        <f t="shared" si="10"/>
        <v>46204</v>
      </c>
      <c r="J222" t="str">
        <f t="shared" si="11"/>
        <v>Jul 2026</v>
      </c>
    </row>
    <row r="223" spans="1:10" x14ac:dyDescent="0.3">
      <c r="A223" t="s">
        <v>482</v>
      </c>
      <c r="B223" t="s">
        <v>483</v>
      </c>
      <c r="C223" t="s">
        <v>60</v>
      </c>
      <c r="D223" s="5">
        <v>13</v>
      </c>
      <c r="E223" t="s">
        <v>1308</v>
      </c>
      <c r="F223" t="s">
        <v>92</v>
      </c>
      <c r="G223" s="2">
        <f t="shared" si="9"/>
        <v>46163</v>
      </c>
      <c r="H223" cm="1">
        <f t="array" ref="H223">D223*_xlfn.XLOOKUP(C223,Clean_Inventry_Master!A:A,Clean_Inventry_Master!E:E,NOT FOUND,0)</f>
        <v>1169.8699999999999</v>
      </c>
      <c r="I223" s="2">
        <f t="shared" si="10"/>
        <v>46143</v>
      </c>
      <c r="J223" t="str">
        <f t="shared" si="11"/>
        <v>May 2026</v>
      </c>
    </row>
    <row r="224" spans="1:10" x14ac:dyDescent="0.3">
      <c r="A224" t="s">
        <v>484</v>
      </c>
      <c r="B224" t="s">
        <v>485</v>
      </c>
      <c r="C224" t="s">
        <v>28</v>
      </c>
      <c r="D224" s="5">
        <v>5</v>
      </c>
      <c r="E224" t="s">
        <v>77</v>
      </c>
      <c r="F224" t="s">
        <v>83</v>
      </c>
      <c r="G224" s="2">
        <f t="shared" si="9"/>
        <v>46077</v>
      </c>
      <c r="H224" cm="1">
        <f t="array" ref="H224">D224*_xlfn.XLOOKUP(C224,Clean_Inventry_Master!A:A,Clean_Inventry_Master!E:E,NOT FOUND,0)</f>
        <v>900</v>
      </c>
      <c r="I224" s="2">
        <f t="shared" si="10"/>
        <v>46054</v>
      </c>
      <c r="J224" t="str">
        <f t="shared" si="11"/>
        <v>Feb 2026</v>
      </c>
    </row>
    <row r="225" spans="1:10" x14ac:dyDescent="0.3">
      <c r="A225" t="s">
        <v>486</v>
      </c>
      <c r="B225" t="s">
        <v>388</v>
      </c>
      <c r="C225" t="s">
        <v>28</v>
      </c>
      <c r="D225" s="5">
        <v>12</v>
      </c>
      <c r="E225" t="s">
        <v>91</v>
      </c>
      <c r="F225" t="s">
        <v>78</v>
      </c>
      <c r="G225" s="2">
        <f t="shared" si="9"/>
        <v>46268</v>
      </c>
      <c r="H225" cm="1">
        <f t="array" ref="H225">D225*_xlfn.XLOOKUP(C225,Clean_Inventry_Master!A:A,Clean_Inventry_Master!E:E,NOT FOUND,0)</f>
        <v>2160</v>
      </c>
      <c r="I225" s="2">
        <f t="shared" si="10"/>
        <v>46266</v>
      </c>
      <c r="J225" t="str">
        <f t="shared" si="11"/>
        <v>Sep 2026</v>
      </c>
    </row>
    <row r="226" spans="1:10" x14ac:dyDescent="0.3">
      <c r="A226" t="s">
        <v>487</v>
      </c>
      <c r="B226" t="s">
        <v>374</v>
      </c>
      <c r="C226" t="s">
        <v>52</v>
      </c>
      <c r="D226" s="5">
        <v>9</v>
      </c>
      <c r="E226" t="s">
        <v>77</v>
      </c>
      <c r="F226" t="s">
        <v>92</v>
      </c>
      <c r="G226" s="2">
        <f t="shared" si="9"/>
        <v>46236</v>
      </c>
      <c r="H226" cm="1">
        <f t="array" ref="H226">D226*_xlfn.XLOOKUP(C226,Clean_Inventry_Master!A:A,Clean_Inventry_Master!E:E,NOT FOUND,0)</f>
        <v>269.90999999999997</v>
      </c>
      <c r="I226" s="2">
        <f t="shared" si="10"/>
        <v>46235</v>
      </c>
      <c r="J226" t="str">
        <f t="shared" si="11"/>
        <v>Aug 2026</v>
      </c>
    </row>
    <row r="227" spans="1:10" x14ac:dyDescent="0.3">
      <c r="A227" t="s">
        <v>488</v>
      </c>
      <c r="B227" t="s">
        <v>489</v>
      </c>
      <c r="C227" t="s">
        <v>33</v>
      </c>
      <c r="D227" s="5">
        <v>14</v>
      </c>
      <c r="E227" t="s">
        <v>82</v>
      </c>
      <c r="F227" t="s">
        <v>83</v>
      </c>
      <c r="G227" s="2">
        <f t="shared" si="9"/>
        <v>46222</v>
      </c>
      <c r="H227" cm="1">
        <f t="array" ref="H227">D227*_xlfn.XLOOKUP(C227,Clean_Inventry_Master!A:A,Clean_Inventry_Master!E:E,NOT FOUND,0)</f>
        <v>336</v>
      </c>
      <c r="I227" s="2">
        <f t="shared" si="10"/>
        <v>46204</v>
      </c>
      <c r="J227" t="str">
        <f t="shared" si="11"/>
        <v>Jul 2026</v>
      </c>
    </row>
    <row r="228" spans="1:10" x14ac:dyDescent="0.3">
      <c r="A228" t="s">
        <v>490</v>
      </c>
      <c r="B228" t="s">
        <v>155</v>
      </c>
      <c r="C228" t="s">
        <v>14</v>
      </c>
      <c r="D228" s="5">
        <v>1</v>
      </c>
      <c r="E228" t="s">
        <v>77</v>
      </c>
      <c r="F228" t="s">
        <v>92</v>
      </c>
      <c r="G228" s="2">
        <f t="shared" si="9"/>
        <v>46039</v>
      </c>
      <c r="H228" cm="1">
        <f t="array" ref="H228">D228*_xlfn.XLOOKUP(C228,Clean_Inventry_Master!A:A,Clean_Inventry_Master!E:E,NOT FOUND,0)</f>
        <v>35</v>
      </c>
      <c r="I228" s="2">
        <f t="shared" si="10"/>
        <v>46023</v>
      </c>
      <c r="J228" t="str">
        <f t="shared" si="11"/>
        <v>Jan 2026</v>
      </c>
    </row>
    <row r="229" spans="1:10" x14ac:dyDescent="0.3">
      <c r="A229" t="s">
        <v>491</v>
      </c>
      <c r="B229" t="s">
        <v>492</v>
      </c>
      <c r="C229" t="s">
        <v>31</v>
      </c>
      <c r="D229" s="5">
        <v>1</v>
      </c>
      <c r="E229" t="s">
        <v>77</v>
      </c>
      <c r="F229" t="s">
        <v>92</v>
      </c>
      <c r="G229" s="2">
        <f t="shared" si="9"/>
        <v>46026</v>
      </c>
      <c r="H229" cm="1">
        <f t="array" ref="H229">D229*_xlfn.XLOOKUP(C229,Clean_Inventry_Master!A:A,Clean_Inventry_Master!E:E,NOT FOUND,0)</f>
        <v>15</v>
      </c>
      <c r="I229" s="2">
        <f t="shared" si="10"/>
        <v>46023</v>
      </c>
      <c r="J229" t="str">
        <f t="shared" si="11"/>
        <v>Jan 2026</v>
      </c>
    </row>
    <row r="230" spans="1:10" x14ac:dyDescent="0.3">
      <c r="A230" t="s">
        <v>493</v>
      </c>
      <c r="B230" t="s">
        <v>113</v>
      </c>
      <c r="C230" t="s">
        <v>14</v>
      </c>
      <c r="D230" s="5">
        <v>7</v>
      </c>
      <c r="E230" t="s">
        <v>91</v>
      </c>
      <c r="F230" t="s">
        <v>83</v>
      </c>
      <c r="G230" s="2">
        <f t="shared" si="9"/>
        <v>46280</v>
      </c>
      <c r="H230" cm="1">
        <f t="array" ref="H230">D230*_xlfn.XLOOKUP(C230,Clean_Inventry_Master!A:A,Clean_Inventry_Master!E:E,NOT FOUND,0)</f>
        <v>245</v>
      </c>
      <c r="I230" s="2">
        <f t="shared" si="10"/>
        <v>46266</v>
      </c>
      <c r="J230" t="str">
        <f t="shared" si="11"/>
        <v>Sep 2026</v>
      </c>
    </row>
    <row r="231" spans="1:10" x14ac:dyDescent="0.3">
      <c r="A231" t="s">
        <v>494</v>
      </c>
      <c r="B231" t="s">
        <v>408</v>
      </c>
      <c r="C231" t="s">
        <v>68</v>
      </c>
      <c r="D231" s="5">
        <v>1</v>
      </c>
      <c r="E231" t="s">
        <v>82</v>
      </c>
      <c r="F231" t="s">
        <v>92</v>
      </c>
      <c r="G231" s="2">
        <f t="shared" si="9"/>
        <v>46138</v>
      </c>
      <c r="H231" cm="1">
        <f t="array" ref="H231">D231*_xlfn.XLOOKUP(C231,Clean_Inventry_Master!A:A,Clean_Inventry_Master!E:E,NOT FOUND,0)</f>
        <v>42.5</v>
      </c>
      <c r="I231" s="2">
        <f t="shared" si="10"/>
        <v>46113</v>
      </c>
      <c r="J231" t="str">
        <f t="shared" si="11"/>
        <v>Apr 2026</v>
      </c>
    </row>
    <row r="232" spans="1:10" x14ac:dyDescent="0.3">
      <c r="A232" t="s">
        <v>495</v>
      </c>
      <c r="B232" t="s">
        <v>496</v>
      </c>
      <c r="C232" t="s">
        <v>28</v>
      </c>
      <c r="D232" s="5">
        <v>13</v>
      </c>
      <c r="E232" t="s">
        <v>77</v>
      </c>
      <c r="F232" t="s">
        <v>83</v>
      </c>
      <c r="G232" s="2">
        <f t="shared" si="9"/>
        <v>46300</v>
      </c>
      <c r="H232" cm="1">
        <f t="array" ref="H232">D232*_xlfn.XLOOKUP(C232,Clean_Inventry_Master!A:A,Clean_Inventry_Master!E:E,NOT FOUND,0)</f>
        <v>2340</v>
      </c>
      <c r="I232" s="2">
        <f t="shared" si="10"/>
        <v>46296</v>
      </c>
      <c r="J232" t="str">
        <f t="shared" si="11"/>
        <v>Oct 2026</v>
      </c>
    </row>
    <row r="233" spans="1:10" x14ac:dyDescent="0.3">
      <c r="A233" t="s">
        <v>497</v>
      </c>
      <c r="B233" t="s">
        <v>98</v>
      </c>
      <c r="C233" t="s">
        <v>58</v>
      </c>
      <c r="D233" s="5">
        <v>2</v>
      </c>
      <c r="E233" t="s">
        <v>77</v>
      </c>
      <c r="F233" t="s">
        <v>78</v>
      </c>
      <c r="G233" s="2">
        <f t="shared" si="9"/>
        <v>46150</v>
      </c>
      <c r="H233" cm="1">
        <f t="array" ref="H233">D233*_xlfn.XLOOKUP(C233,Clean_Inventry_Master!A:A,Clean_Inventry_Master!E:E,NOT FOUND,0)</f>
        <v>119.98</v>
      </c>
      <c r="I233" s="2">
        <f t="shared" si="10"/>
        <v>46143</v>
      </c>
      <c r="J233" t="str">
        <f t="shared" si="11"/>
        <v>May 2026</v>
      </c>
    </row>
    <row r="234" spans="1:10" x14ac:dyDescent="0.3">
      <c r="A234" t="s">
        <v>498</v>
      </c>
      <c r="B234" t="s">
        <v>499</v>
      </c>
      <c r="C234" t="s">
        <v>62</v>
      </c>
      <c r="D234" s="5">
        <v>3</v>
      </c>
      <c r="E234" t="s">
        <v>1308</v>
      </c>
      <c r="F234" t="s">
        <v>92</v>
      </c>
      <c r="G234" s="2">
        <f t="shared" si="9"/>
        <v>46133</v>
      </c>
      <c r="H234" cm="1">
        <f t="array" ref="H234">D234*_xlfn.XLOOKUP(C234,Clean_Inventry_Master!A:A,Clean_Inventry_Master!E:E,NOT FOUND,0)</f>
        <v>82.5</v>
      </c>
      <c r="I234" s="2">
        <f t="shared" si="10"/>
        <v>46113</v>
      </c>
      <c r="J234" t="str">
        <f t="shared" si="11"/>
        <v>Apr 2026</v>
      </c>
    </row>
    <row r="235" spans="1:10" x14ac:dyDescent="0.3">
      <c r="A235" t="s">
        <v>501</v>
      </c>
      <c r="B235" t="s">
        <v>502</v>
      </c>
      <c r="C235" t="s">
        <v>49</v>
      </c>
      <c r="D235" s="5">
        <v>11</v>
      </c>
      <c r="E235" t="s">
        <v>82</v>
      </c>
      <c r="F235" t="s">
        <v>92</v>
      </c>
      <c r="G235" s="2">
        <f t="shared" si="9"/>
        <v>46240</v>
      </c>
      <c r="H235" cm="1">
        <f t="array" ref="H235">D235*_xlfn.XLOOKUP(C235,Clean_Inventry_Master!A:A,Clean_Inventry_Master!E:E,NOT FOUND,0)</f>
        <v>549.89</v>
      </c>
      <c r="I235" s="2">
        <f t="shared" si="10"/>
        <v>46235</v>
      </c>
      <c r="J235" t="str">
        <f t="shared" si="11"/>
        <v>Aug 2026</v>
      </c>
    </row>
    <row r="236" spans="1:10" x14ac:dyDescent="0.3">
      <c r="A236" t="s">
        <v>503</v>
      </c>
      <c r="B236" t="s">
        <v>171</v>
      </c>
      <c r="C236" t="s">
        <v>20</v>
      </c>
      <c r="D236" s="5">
        <v>14</v>
      </c>
      <c r="E236" t="s">
        <v>91</v>
      </c>
      <c r="F236" t="s">
        <v>92</v>
      </c>
      <c r="G236" s="2">
        <f t="shared" si="9"/>
        <v>46139</v>
      </c>
      <c r="H236" cm="1">
        <f t="array" ref="H236">D236*_xlfn.XLOOKUP(C236,Clean_Inventry_Master!A:A,Clean_Inventry_Master!E:E,NOT FOUND,0)</f>
        <v>1119.8599999999999</v>
      </c>
      <c r="I236" s="2">
        <f t="shared" si="10"/>
        <v>46113</v>
      </c>
      <c r="J236" t="str">
        <f t="shared" si="11"/>
        <v>Apr 2026</v>
      </c>
    </row>
    <row r="237" spans="1:10" x14ac:dyDescent="0.3">
      <c r="A237" t="s">
        <v>504</v>
      </c>
      <c r="B237" t="s">
        <v>505</v>
      </c>
      <c r="C237" t="s">
        <v>12</v>
      </c>
      <c r="D237" s="5">
        <v>13</v>
      </c>
      <c r="E237" t="s">
        <v>1308</v>
      </c>
      <c r="F237" t="s">
        <v>83</v>
      </c>
      <c r="G237" s="2">
        <f t="shared" si="9"/>
        <v>46095</v>
      </c>
      <c r="H237" cm="1">
        <f t="array" ref="H237">D237*_xlfn.XLOOKUP(C237,Clean_Inventry_Master!A:A,Clean_Inventry_Master!E:E,NOT FOUND,0)</f>
        <v>1235</v>
      </c>
      <c r="I237" s="2">
        <f t="shared" si="10"/>
        <v>46082</v>
      </c>
      <c r="J237" t="str">
        <f t="shared" si="11"/>
        <v>Mar 2026</v>
      </c>
    </row>
    <row r="238" spans="1:10" x14ac:dyDescent="0.3">
      <c r="A238" t="s">
        <v>506</v>
      </c>
      <c r="B238" t="s">
        <v>507</v>
      </c>
      <c r="C238" t="s">
        <v>49</v>
      </c>
      <c r="D238" s="5">
        <v>3</v>
      </c>
      <c r="E238" t="s">
        <v>82</v>
      </c>
      <c r="F238" t="s">
        <v>78</v>
      </c>
      <c r="G238" s="2">
        <f t="shared" si="9"/>
        <v>46075</v>
      </c>
      <c r="H238" cm="1">
        <f t="array" ref="H238">D238*_xlfn.XLOOKUP(C238,Clean_Inventry_Master!A:A,Clean_Inventry_Master!E:E,NOT FOUND,0)</f>
        <v>149.97</v>
      </c>
      <c r="I238" s="2">
        <f t="shared" si="10"/>
        <v>46054</v>
      </c>
      <c r="J238" t="str">
        <f t="shared" si="11"/>
        <v>Feb 2026</v>
      </c>
    </row>
    <row r="239" spans="1:10" x14ac:dyDescent="0.3">
      <c r="A239" t="s">
        <v>508</v>
      </c>
      <c r="B239" t="s">
        <v>196</v>
      </c>
      <c r="C239" t="s">
        <v>47</v>
      </c>
      <c r="D239" s="5">
        <v>2</v>
      </c>
      <c r="E239" t="s">
        <v>91</v>
      </c>
      <c r="F239" t="s">
        <v>78</v>
      </c>
      <c r="G239" s="2">
        <f t="shared" si="9"/>
        <v>46265</v>
      </c>
      <c r="H239" cm="1">
        <f t="array" ref="H239">D239*_xlfn.XLOOKUP(C239,Clean_Inventry_Master!A:A,Clean_Inventry_Master!E:E,NOT FOUND,0)</f>
        <v>259.98</v>
      </c>
      <c r="I239" s="2">
        <f t="shared" si="10"/>
        <v>46235</v>
      </c>
      <c r="J239" t="str">
        <f t="shared" si="11"/>
        <v>Aug 2026</v>
      </c>
    </row>
    <row r="240" spans="1:10" x14ac:dyDescent="0.3">
      <c r="A240" t="s">
        <v>509</v>
      </c>
      <c r="B240" t="s">
        <v>147</v>
      </c>
      <c r="C240" t="s">
        <v>37</v>
      </c>
      <c r="D240" s="5">
        <v>9</v>
      </c>
      <c r="E240" t="s">
        <v>1308</v>
      </c>
      <c r="F240" t="s">
        <v>83</v>
      </c>
      <c r="G240" s="2">
        <f t="shared" si="9"/>
        <v>46154</v>
      </c>
      <c r="H240" cm="1">
        <f t="array" ref="H240">D240*_xlfn.XLOOKUP(C240,Clean_Inventry_Master!A:A,Clean_Inventry_Master!E:E,NOT FOUND,0)</f>
        <v>405</v>
      </c>
      <c r="I240" s="2">
        <f t="shared" si="10"/>
        <v>46143</v>
      </c>
      <c r="J240" t="str">
        <f t="shared" si="11"/>
        <v>May 2026</v>
      </c>
    </row>
    <row r="241" spans="1:10" x14ac:dyDescent="0.3">
      <c r="A241" t="s">
        <v>510</v>
      </c>
      <c r="B241" t="s">
        <v>238</v>
      </c>
      <c r="C241" t="s">
        <v>43</v>
      </c>
      <c r="D241" s="5">
        <v>5</v>
      </c>
      <c r="E241" t="s">
        <v>1308</v>
      </c>
      <c r="F241" t="s">
        <v>92</v>
      </c>
      <c r="G241" s="2">
        <f t="shared" si="9"/>
        <v>46088</v>
      </c>
      <c r="H241" cm="1">
        <f t="array" ref="H241">D241*_xlfn.XLOOKUP(C241,Clean_Inventry_Master!A:A,Clean_Inventry_Master!E:E,NOT FOUND,0)</f>
        <v>42.5</v>
      </c>
      <c r="I241" s="2">
        <f t="shared" si="10"/>
        <v>46082</v>
      </c>
      <c r="J241" t="str">
        <f t="shared" si="11"/>
        <v>Mar 2026</v>
      </c>
    </row>
    <row r="242" spans="1:10" x14ac:dyDescent="0.3">
      <c r="A242" t="s">
        <v>511</v>
      </c>
      <c r="B242" t="s">
        <v>512</v>
      </c>
      <c r="C242" t="s">
        <v>43</v>
      </c>
      <c r="D242" s="5">
        <v>12</v>
      </c>
      <c r="E242" t="s">
        <v>77</v>
      </c>
      <c r="F242" t="s">
        <v>78</v>
      </c>
      <c r="G242" s="2">
        <f t="shared" si="9"/>
        <v>46292</v>
      </c>
      <c r="H242" cm="1">
        <f t="array" ref="H242">D242*_xlfn.XLOOKUP(C242,Clean_Inventry_Master!A:A,Clean_Inventry_Master!E:E,NOT FOUND,0)</f>
        <v>102</v>
      </c>
      <c r="I242" s="2">
        <f t="shared" si="10"/>
        <v>46266</v>
      </c>
      <c r="J242" t="str">
        <f t="shared" si="11"/>
        <v>Sep 2026</v>
      </c>
    </row>
    <row r="243" spans="1:10" x14ac:dyDescent="0.3">
      <c r="A243" t="s">
        <v>513</v>
      </c>
      <c r="B243" t="s">
        <v>262</v>
      </c>
      <c r="C243" t="s">
        <v>20</v>
      </c>
      <c r="D243" s="5">
        <v>10</v>
      </c>
      <c r="E243" t="s">
        <v>91</v>
      </c>
      <c r="F243" t="s">
        <v>92</v>
      </c>
      <c r="G243" s="2">
        <f t="shared" si="9"/>
        <v>46292</v>
      </c>
      <c r="H243" cm="1">
        <f t="array" ref="H243">D243*_xlfn.XLOOKUP(C243,Clean_Inventry_Master!A:A,Clean_Inventry_Master!E:E,NOT FOUND,0)</f>
        <v>799.9</v>
      </c>
      <c r="I243" s="2">
        <f t="shared" si="10"/>
        <v>46266</v>
      </c>
      <c r="J243" t="str">
        <f t="shared" si="11"/>
        <v>Sep 2026</v>
      </c>
    </row>
    <row r="244" spans="1:10" x14ac:dyDescent="0.3">
      <c r="A244" t="s">
        <v>514</v>
      </c>
      <c r="B244" t="s">
        <v>515</v>
      </c>
      <c r="C244" t="s">
        <v>47</v>
      </c>
      <c r="D244" s="5">
        <v>6</v>
      </c>
      <c r="E244" t="s">
        <v>77</v>
      </c>
      <c r="F244" t="s">
        <v>78</v>
      </c>
      <c r="G244" s="2">
        <f t="shared" si="9"/>
        <v>46084</v>
      </c>
      <c r="H244" cm="1">
        <f t="array" ref="H244">D244*_xlfn.XLOOKUP(C244,Clean_Inventry_Master!A:A,Clean_Inventry_Master!E:E,NOT FOUND,0)</f>
        <v>779.94</v>
      </c>
      <c r="I244" s="2">
        <f t="shared" si="10"/>
        <v>46082</v>
      </c>
      <c r="J244" t="str">
        <f t="shared" si="11"/>
        <v>Mar 2026</v>
      </c>
    </row>
    <row r="245" spans="1:10" x14ac:dyDescent="0.3">
      <c r="A245" t="s">
        <v>516</v>
      </c>
      <c r="B245" t="s">
        <v>517</v>
      </c>
      <c r="C245" t="s">
        <v>45</v>
      </c>
      <c r="D245" s="5">
        <v>2</v>
      </c>
      <c r="E245" t="s">
        <v>91</v>
      </c>
      <c r="F245" t="s">
        <v>78</v>
      </c>
      <c r="G245" s="2">
        <f t="shared" si="9"/>
        <v>46025</v>
      </c>
      <c r="H245" cm="1">
        <f t="array" ref="H245">D245*_xlfn.XLOOKUP(C245,Clean_Inventry_Master!A:A,Clean_Inventry_Master!E:E,NOT FOUND,0)</f>
        <v>37.979999999999997</v>
      </c>
      <c r="I245" s="2">
        <f t="shared" si="10"/>
        <v>46023</v>
      </c>
      <c r="J245" t="str">
        <f t="shared" si="11"/>
        <v>Jan 2026</v>
      </c>
    </row>
    <row r="246" spans="1:10" x14ac:dyDescent="0.3">
      <c r="A246" t="s">
        <v>518</v>
      </c>
      <c r="B246" t="s">
        <v>519</v>
      </c>
      <c r="C246" t="s">
        <v>33</v>
      </c>
      <c r="D246" s="5">
        <v>13</v>
      </c>
      <c r="E246" t="s">
        <v>82</v>
      </c>
      <c r="F246" t="s">
        <v>92</v>
      </c>
      <c r="G246" s="2">
        <f t="shared" si="9"/>
        <v>46137</v>
      </c>
      <c r="H246" cm="1">
        <f t="array" ref="H246">D246*_xlfn.XLOOKUP(C246,Clean_Inventry_Master!A:A,Clean_Inventry_Master!E:E,NOT FOUND,0)</f>
        <v>312</v>
      </c>
      <c r="I246" s="2">
        <f t="shared" si="10"/>
        <v>46113</v>
      </c>
      <c r="J246" t="str">
        <f t="shared" si="11"/>
        <v>Apr 2026</v>
      </c>
    </row>
    <row r="247" spans="1:10" x14ac:dyDescent="0.3">
      <c r="A247" t="s">
        <v>520</v>
      </c>
      <c r="B247" t="s">
        <v>177</v>
      </c>
      <c r="C247" t="s">
        <v>31</v>
      </c>
      <c r="D247" s="5">
        <v>6</v>
      </c>
      <c r="E247" t="s">
        <v>1308</v>
      </c>
      <c r="F247" t="s">
        <v>83</v>
      </c>
      <c r="G247" s="2">
        <f t="shared" si="9"/>
        <v>46129</v>
      </c>
      <c r="H247" cm="1">
        <f t="array" ref="H247">D247*_xlfn.XLOOKUP(C247,Clean_Inventry_Master!A:A,Clean_Inventry_Master!E:E,NOT FOUND,0)</f>
        <v>90</v>
      </c>
      <c r="I247" s="2">
        <f t="shared" si="10"/>
        <v>46113</v>
      </c>
      <c r="J247" t="str">
        <f t="shared" si="11"/>
        <v>Apr 2026</v>
      </c>
    </row>
    <row r="248" spans="1:10" x14ac:dyDescent="0.3">
      <c r="A248" t="s">
        <v>521</v>
      </c>
      <c r="B248" t="s">
        <v>465</v>
      </c>
      <c r="C248" t="s">
        <v>66</v>
      </c>
      <c r="D248" s="5">
        <v>11</v>
      </c>
      <c r="E248" t="s">
        <v>1308</v>
      </c>
      <c r="F248" t="s">
        <v>78</v>
      </c>
      <c r="G248" s="2">
        <f t="shared" si="9"/>
        <v>46268</v>
      </c>
      <c r="H248" cm="1">
        <f t="array" ref="H248">D248*_xlfn.XLOOKUP(C248,Clean_Inventry_Master!A:A,Clean_Inventry_Master!E:E,NOT FOUND,0)</f>
        <v>384.89000000000004</v>
      </c>
      <c r="I248" s="2">
        <f t="shared" si="10"/>
        <v>46266</v>
      </c>
      <c r="J248" t="str">
        <f t="shared" si="11"/>
        <v>Sep 2026</v>
      </c>
    </row>
    <row r="249" spans="1:10" x14ac:dyDescent="0.3">
      <c r="A249" t="s">
        <v>522</v>
      </c>
      <c r="B249" t="s">
        <v>458</v>
      </c>
      <c r="C249" t="s">
        <v>37</v>
      </c>
      <c r="D249" s="5">
        <v>10</v>
      </c>
      <c r="E249" t="s">
        <v>91</v>
      </c>
      <c r="F249" t="s">
        <v>78</v>
      </c>
      <c r="G249" s="2">
        <f t="shared" si="9"/>
        <v>46214</v>
      </c>
      <c r="H249" cm="1">
        <f t="array" ref="H249">D249*_xlfn.XLOOKUP(C249,Clean_Inventry_Master!A:A,Clean_Inventry_Master!E:E,NOT FOUND,0)</f>
        <v>450</v>
      </c>
      <c r="I249" s="2">
        <f t="shared" si="10"/>
        <v>46204</v>
      </c>
      <c r="J249" t="str">
        <f t="shared" si="11"/>
        <v>Jul 2026</v>
      </c>
    </row>
    <row r="250" spans="1:10" x14ac:dyDescent="0.3">
      <c r="A250" t="s">
        <v>523</v>
      </c>
      <c r="B250" t="s">
        <v>524</v>
      </c>
      <c r="C250" t="s">
        <v>60</v>
      </c>
      <c r="D250" s="5">
        <v>10</v>
      </c>
      <c r="E250" t="s">
        <v>82</v>
      </c>
      <c r="F250" t="s">
        <v>78</v>
      </c>
      <c r="G250" s="2">
        <f t="shared" si="9"/>
        <v>46230</v>
      </c>
      <c r="H250" cm="1">
        <f t="array" ref="H250">D250*_xlfn.XLOOKUP(C250,Clean_Inventry_Master!A:A,Clean_Inventry_Master!E:E,NOT FOUND,0)</f>
        <v>899.9</v>
      </c>
      <c r="I250" s="2">
        <f t="shared" si="10"/>
        <v>46204</v>
      </c>
      <c r="J250" t="str">
        <f t="shared" si="11"/>
        <v>Jul 2026</v>
      </c>
    </row>
    <row r="251" spans="1:10" x14ac:dyDescent="0.3">
      <c r="A251" t="s">
        <v>525</v>
      </c>
      <c r="B251" t="s">
        <v>526</v>
      </c>
      <c r="C251" t="s">
        <v>14</v>
      </c>
      <c r="D251" s="5">
        <v>5</v>
      </c>
      <c r="E251" t="s">
        <v>82</v>
      </c>
      <c r="F251" t="s">
        <v>92</v>
      </c>
      <c r="G251" s="2">
        <f t="shared" si="9"/>
        <v>46098</v>
      </c>
      <c r="H251" cm="1">
        <f t="array" ref="H251">D251*_xlfn.XLOOKUP(C251,Clean_Inventry_Master!A:A,Clean_Inventry_Master!E:E,NOT FOUND,0)</f>
        <v>175</v>
      </c>
      <c r="I251" s="2">
        <f t="shared" si="10"/>
        <v>46082</v>
      </c>
      <c r="J251" t="str">
        <f t="shared" si="11"/>
        <v>Mar 2026</v>
      </c>
    </row>
    <row r="252" spans="1:10" x14ac:dyDescent="0.3">
      <c r="A252" t="s">
        <v>527</v>
      </c>
      <c r="B252" t="s">
        <v>528</v>
      </c>
      <c r="C252" t="s">
        <v>14</v>
      </c>
      <c r="D252" s="5">
        <v>4</v>
      </c>
      <c r="E252" t="s">
        <v>77</v>
      </c>
      <c r="F252" t="s">
        <v>92</v>
      </c>
      <c r="G252" s="2">
        <f t="shared" si="9"/>
        <v>46042</v>
      </c>
      <c r="H252" cm="1">
        <f t="array" ref="H252">D252*_xlfn.XLOOKUP(C252,Clean_Inventry_Master!A:A,Clean_Inventry_Master!E:E,NOT FOUND,0)</f>
        <v>140</v>
      </c>
      <c r="I252" s="2">
        <f t="shared" si="10"/>
        <v>46023</v>
      </c>
      <c r="J252" t="str">
        <f t="shared" si="11"/>
        <v>Jan 2026</v>
      </c>
    </row>
    <row r="253" spans="1:10" x14ac:dyDescent="0.3">
      <c r="A253" t="s">
        <v>529</v>
      </c>
      <c r="B253" t="s">
        <v>100</v>
      </c>
      <c r="C253" t="s">
        <v>12</v>
      </c>
      <c r="D253" s="5">
        <v>1</v>
      </c>
      <c r="E253" t="s">
        <v>1308</v>
      </c>
      <c r="F253" t="s">
        <v>78</v>
      </c>
      <c r="G253" s="2">
        <f t="shared" si="9"/>
        <v>46126</v>
      </c>
      <c r="H253" cm="1">
        <f t="array" ref="H253">D253*_xlfn.XLOOKUP(C253,Clean_Inventry_Master!A:A,Clean_Inventry_Master!E:E,NOT FOUND,0)</f>
        <v>95</v>
      </c>
      <c r="I253" s="2">
        <f t="shared" si="10"/>
        <v>46113</v>
      </c>
      <c r="J253" t="str">
        <f t="shared" si="11"/>
        <v>Apr 2026</v>
      </c>
    </row>
    <row r="254" spans="1:10" x14ac:dyDescent="0.3">
      <c r="A254" t="s">
        <v>530</v>
      </c>
      <c r="B254" t="s">
        <v>492</v>
      </c>
      <c r="C254" t="s">
        <v>31</v>
      </c>
      <c r="D254" s="5">
        <v>13</v>
      </c>
      <c r="E254" t="s">
        <v>1308</v>
      </c>
      <c r="F254" t="s">
        <v>92</v>
      </c>
      <c r="G254" s="2">
        <f t="shared" si="9"/>
        <v>46026</v>
      </c>
      <c r="H254" cm="1">
        <f t="array" ref="H254">D254*_xlfn.XLOOKUP(C254,Clean_Inventry_Master!A:A,Clean_Inventry_Master!E:E,NOT FOUND,0)</f>
        <v>195</v>
      </c>
      <c r="I254" s="2">
        <f t="shared" si="10"/>
        <v>46023</v>
      </c>
      <c r="J254" t="str">
        <f t="shared" si="11"/>
        <v>Jan 2026</v>
      </c>
    </row>
    <row r="255" spans="1:10" x14ac:dyDescent="0.3">
      <c r="A255" t="s">
        <v>531</v>
      </c>
      <c r="B255" t="s">
        <v>452</v>
      </c>
      <c r="C255" t="s">
        <v>43</v>
      </c>
      <c r="D255" s="5">
        <v>4</v>
      </c>
      <c r="E255" t="s">
        <v>91</v>
      </c>
      <c r="F255" t="s">
        <v>83</v>
      </c>
      <c r="G255" s="2">
        <f t="shared" si="9"/>
        <v>46041</v>
      </c>
      <c r="H255" cm="1">
        <f t="array" ref="H255">D255*_xlfn.XLOOKUP(C255,Clean_Inventry_Master!A:A,Clean_Inventry_Master!E:E,NOT FOUND,0)</f>
        <v>34</v>
      </c>
      <c r="I255" s="2">
        <f t="shared" si="10"/>
        <v>46023</v>
      </c>
      <c r="J255" t="str">
        <f t="shared" si="11"/>
        <v>Jan 2026</v>
      </c>
    </row>
    <row r="256" spans="1:10" x14ac:dyDescent="0.3">
      <c r="A256" t="s">
        <v>532</v>
      </c>
      <c r="B256" t="s">
        <v>370</v>
      </c>
      <c r="C256" t="s">
        <v>39</v>
      </c>
      <c r="D256" s="5">
        <v>10</v>
      </c>
      <c r="E256" t="s">
        <v>82</v>
      </c>
      <c r="F256" t="s">
        <v>92</v>
      </c>
      <c r="G256" s="2">
        <f t="shared" si="9"/>
        <v>46159</v>
      </c>
      <c r="H256" cm="1">
        <f t="array" ref="H256">D256*_xlfn.XLOOKUP(C256,Clean_Inventry_Master!A:A,Clean_Inventry_Master!E:E,NOT FOUND,0)</f>
        <v>219.89999999999998</v>
      </c>
      <c r="I256" s="2">
        <f t="shared" si="10"/>
        <v>46143</v>
      </c>
      <c r="J256" t="str">
        <f t="shared" si="11"/>
        <v>May 2026</v>
      </c>
    </row>
    <row r="257" spans="1:10" x14ac:dyDescent="0.3">
      <c r="A257" t="s">
        <v>533</v>
      </c>
      <c r="B257" t="s">
        <v>534</v>
      </c>
      <c r="C257" t="s">
        <v>60</v>
      </c>
      <c r="D257" s="5">
        <v>4</v>
      </c>
      <c r="E257" t="s">
        <v>82</v>
      </c>
      <c r="F257" t="s">
        <v>83</v>
      </c>
      <c r="G257" s="2">
        <f t="shared" si="9"/>
        <v>46213</v>
      </c>
      <c r="H257" cm="1">
        <f t="array" ref="H257">D257*_xlfn.XLOOKUP(C257,Clean_Inventry_Master!A:A,Clean_Inventry_Master!E:E,NOT FOUND,0)</f>
        <v>359.96</v>
      </c>
      <c r="I257" s="2">
        <f t="shared" si="10"/>
        <v>46204</v>
      </c>
      <c r="J257" t="str">
        <f t="shared" si="11"/>
        <v>Jul 2026</v>
      </c>
    </row>
    <row r="258" spans="1:10" x14ac:dyDescent="0.3">
      <c r="A258" t="s">
        <v>535</v>
      </c>
      <c r="B258" t="s">
        <v>536</v>
      </c>
      <c r="C258" t="s">
        <v>41</v>
      </c>
      <c r="D258" s="5">
        <v>6</v>
      </c>
      <c r="E258" t="s">
        <v>91</v>
      </c>
      <c r="F258" t="s">
        <v>83</v>
      </c>
      <c r="G258" s="2">
        <f t="shared" ref="G258:G321" si="12">IF(ISNUMBER(SEARCH("-", B258)), DATEVALUE(B258), DATE(RIGHT(B258,4), LEFT(B258, FIND("/", B258)-1), MID(B258, FIND("/", B258)+1, FIND("/", B258, FIND("/", B258)+1) - FIND("/", B258) - 1)))</f>
        <v>46188</v>
      </c>
      <c r="H258" cm="1">
        <f t="array" ref="H258">D258*_xlfn.XLOOKUP(C258,Clean_Inventry_Master!A:A,Clean_Inventry_Master!E:E,NOT FOUND,0)</f>
        <v>239.94</v>
      </c>
      <c r="I258" s="2">
        <f t="shared" ref="I258:I321" si="13">DATE(YEAR(G258),MONTH(G258),1)</f>
        <v>46174</v>
      </c>
      <c r="J258" t="str">
        <f t="shared" ref="J258:J321" si="14">TEXT(I258,"mmm yyyy")</f>
        <v>Jun 2026</v>
      </c>
    </row>
    <row r="259" spans="1:10" x14ac:dyDescent="0.3">
      <c r="A259" t="s">
        <v>537</v>
      </c>
      <c r="B259" t="s">
        <v>538</v>
      </c>
      <c r="C259" t="s">
        <v>20</v>
      </c>
      <c r="D259" s="5">
        <v>7</v>
      </c>
      <c r="E259" t="s">
        <v>1308</v>
      </c>
      <c r="F259" t="s">
        <v>83</v>
      </c>
      <c r="G259" s="2">
        <f t="shared" si="12"/>
        <v>46173</v>
      </c>
      <c r="H259" cm="1">
        <f t="array" ref="H259">D259*_xlfn.XLOOKUP(C259,Clean_Inventry_Master!A:A,Clean_Inventry_Master!E:E,NOT FOUND,0)</f>
        <v>559.92999999999995</v>
      </c>
      <c r="I259" s="2">
        <f t="shared" si="13"/>
        <v>46143</v>
      </c>
      <c r="J259" t="str">
        <f t="shared" si="14"/>
        <v>May 2026</v>
      </c>
    </row>
    <row r="260" spans="1:10" x14ac:dyDescent="0.3">
      <c r="A260" t="s">
        <v>539</v>
      </c>
      <c r="B260" t="s">
        <v>540</v>
      </c>
      <c r="C260" t="s">
        <v>26</v>
      </c>
      <c r="D260" s="5">
        <v>10</v>
      </c>
      <c r="E260" t="s">
        <v>82</v>
      </c>
      <c r="F260" t="s">
        <v>78</v>
      </c>
      <c r="G260" s="2">
        <f t="shared" si="12"/>
        <v>46180</v>
      </c>
      <c r="H260" cm="1">
        <f t="array" ref="H260">D260*_xlfn.XLOOKUP(C260,Clean_Inventry_Master!A:A,Clean_Inventry_Master!E:E,NOT FOUND,0)</f>
        <v>899.9</v>
      </c>
      <c r="I260" s="2">
        <f t="shared" si="13"/>
        <v>46174</v>
      </c>
      <c r="J260" t="str">
        <f t="shared" si="14"/>
        <v>Jun 2026</v>
      </c>
    </row>
    <row r="261" spans="1:10" x14ac:dyDescent="0.3">
      <c r="A261" t="s">
        <v>541</v>
      </c>
      <c r="B261" t="s">
        <v>542</v>
      </c>
      <c r="C261" t="s">
        <v>28</v>
      </c>
      <c r="D261" s="5">
        <v>4</v>
      </c>
      <c r="E261" t="s">
        <v>1308</v>
      </c>
      <c r="F261" t="s">
        <v>83</v>
      </c>
      <c r="G261" s="2">
        <f t="shared" si="12"/>
        <v>46232</v>
      </c>
      <c r="H261" cm="1">
        <f t="array" ref="H261">D261*_xlfn.XLOOKUP(C261,Clean_Inventry_Master!A:A,Clean_Inventry_Master!E:E,NOT FOUND,0)</f>
        <v>720</v>
      </c>
      <c r="I261" s="2">
        <f t="shared" si="13"/>
        <v>46204</v>
      </c>
      <c r="J261" t="str">
        <f t="shared" si="14"/>
        <v>Jul 2026</v>
      </c>
    </row>
    <row r="262" spans="1:10" x14ac:dyDescent="0.3">
      <c r="A262" t="s">
        <v>543</v>
      </c>
      <c r="B262" t="s">
        <v>544</v>
      </c>
      <c r="C262" t="s">
        <v>35</v>
      </c>
      <c r="D262" s="5">
        <v>14</v>
      </c>
      <c r="E262" t="s">
        <v>82</v>
      </c>
      <c r="F262" t="s">
        <v>92</v>
      </c>
      <c r="G262" s="2">
        <f t="shared" si="12"/>
        <v>46134</v>
      </c>
      <c r="H262" cm="1">
        <f t="array" ref="H262">D262*_xlfn.XLOOKUP(C262,Clean_Inventry_Master!A:A,Clean_Inventry_Master!E:E,NOT FOUND,0)</f>
        <v>139.86000000000001</v>
      </c>
      <c r="I262" s="2">
        <f t="shared" si="13"/>
        <v>46113</v>
      </c>
      <c r="J262" t="str">
        <f t="shared" si="14"/>
        <v>Apr 2026</v>
      </c>
    </row>
    <row r="263" spans="1:10" x14ac:dyDescent="0.3">
      <c r="A263" t="s">
        <v>545</v>
      </c>
      <c r="B263" t="s">
        <v>311</v>
      </c>
      <c r="C263" t="s">
        <v>52</v>
      </c>
      <c r="D263" s="5">
        <v>10</v>
      </c>
      <c r="E263" t="s">
        <v>1308</v>
      </c>
      <c r="F263" t="s">
        <v>78</v>
      </c>
      <c r="G263" s="2">
        <f t="shared" si="12"/>
        <v>46061</v>
      </c>
      <c r="H263" cm="1">
        <f t="array" ref="H263">D263*_xlfn.XLOOKUP(C263,Clean_Inventry_Master!A:A,Clean_Inventry_Master!E:E,NOT FOUND,0)</f>
        <v>299.89999999999998</v>
      </c>
      <c r="I263" s="2">
        <f t="shared" si="13"/>
        <v>46054</v>
      </c>
      <c r="J263" t="str">
        <f t="shared" si="14"/>
        <v>Feb 2026</v>
      </c>
    </row>
    <row r="264" spans="1:10" x14ac:dyDescent="0.3">
      <c r="A264" t="s">
        <v>546</v>
      </c>
      <c r="B264" t="s">
        <v>216</v>
      </c>
      <c r="C264" t="s">
        <v>60</v>
      </c>
      <c r="D264" s="5">
        <v>14</v>
      </c>
      <c r="E264" t="s">
        <v>77</v>
      </c>
      <c r="F264" t="s">
        <v>83</v>
      </c>
      <c r="G264" s="2">
        <f t="shared" si="12"/>
        <v>46222</v>
      </c>
      <c r="H264" cm="1">
        <f t="array" ref="H264">D264*_xlfn.XLOOKUP(C264,Clean_Inventry_Master!A:A,Clean_Inventry_Master!E:E,NOT FOUND,0)</f>
        <v>1259.8599999999999</v>
      </c>
      <c r="I264" s="2">
        <f t="shared" si="13"/>
        <v>46204</v>
      </c>
      <c r="J264" t="str">
        <f t="shared" si="14"/>
        <v>Jul 2026</v>
      </c>
    </row>
    <row r="265" spans="1:10" x14ac:dyDescent="0.3">
      <c r="A265" t="s">
        <v>547</v>
      </c>
      <c r="B265" t="s">
        <v>248</v>
      </c>
      <c r="C265" t="s">
        <v>56</v>
      </c>
      <c r="D265" s="5">
        <v>10</v>
      </c>
      <c r="E265" t="s">
        <v>1308</v>
      </c>
      <c r="F265" t="s">
        <v>78</v>
      </c>
      <c r="G265" s="2">
        <f t="shared" si="12"/>
        <v>46174</v>
      </c>
      <c r="H265" cm="1">
        <f t="array" ref="H265">D265*_xlfn.XLOOKUP(C265,Clean_Inventry_Master!A:A,Clean_Inventry_Master!E:E,NOT FOUND,0)</f>
        <v>299.89999999999998</v>
      </c>
      <c r="I265" s="2">
        <f t="shared" si="13"/>
        <v>46174</v>
      </c>
      <c r="J265" t="str">
        <f t="shared" si="14"/>
        <v>Jun 2026</v>
      </c>
    </row>
    <row r="266" spans="1:10" x14ac:dyDescent="0.3">
      <c r="A266" t="s">
        <v>548</v>
      </c>
      <c r="B266" t="s">
        <v>549</v>
      </c>
      <c r="C266" t="s">
        <v>43</v>
      </c>
      <c r="D266" s="5">
        <v>13</v>
      </c>
      <c r="E266" t="s">
        <v>82</v>
      </c>
      <c r="F266" t="s">
        <v>78</v>
      </c>
      <c r="G266" s="2">
        <f t="shared" si="12"/>
        <v>46143</v>
      </c>
      <c r="H266" cm="1">
        <f t="array" ref="H266">D266*_xlfn.XLOOKUP(C266,Clean_Inventry_Master!A:A,Clean_Inventry_Master!E:E,NOT FOUND,0)</f>
        <v>110.5</v>
      </c>
      <c r="I266" s="2">
        <f t="shared" si="13"/>
        <v>46143</v>
      </c>
      <c r="J266" t="str">
        <f t="shared" si="14"/>
        <v>May 2026</v>
      </c>
    </row>
    <row r="267" spans="1:10" x14ac:dyDescent="0.3">
      <c r="A267" t="s">
        <v>550</v>
      </c>
      <c r="B267" t="s">
        <v>551</v>
      </c>
      <c r="C267" t="s">
        <v>16</v>
      </c>
      <c r="D267" s="5">
        <v>12</v>
      </c>
      <c r="E267" t="s">
        <v>77</v>
      </c>
      <c r="F267" t="s">
        <v>78</v>
      </c>
      <c r="G267" s="2">
        <f t="shared" si="12"/>
        <v>46257</v>
      </c>
      <c r="H267" cm="1">
        <f t="array" ref="H267">D267*_xlfn.XLOOKUP(C267,Clean_Inventry_Master!A:A,Clean_Inventry_Master!E:E,NOT FOUND,0)</f>
        <v>2748</v>
      </c>
      <c r="I267" s="2">
        <f t="shared" si="13"/>
        <v>46235</v>
      </c>
      <c r="J267" t="str">
        <f t="shared" si="14"/>
        <v>Aug 2026</v>
      </c>
    </row>
    <row r="268" spans="1:10" x14ac:dyDescent="0.3">
      <c r="A268" t="s">
        <v>552</v>
      </c>
      <c r="B268" t="s">
        <v>553</v>
      </c>
      <c r="C268" t="s">
        <v>14</v>
      </c>
      <c r="D268" s="5">
        <v>2</v>
      </c>
      <c r="E268" t="s">
        <v>1308</v>
      </c>
      <c r="F268" t="s">
        <v>83</v>
      </c>
      <c r="G268" s="2">
        <f t="shared" si="12"/>
        <v>46245</v>
      </c>
      <c r="H268" cm="1">
        <f t="array" ref="H268">D268*_xlfn.XLOOKUP(C268,Clean_Inventry_Master!A:A,Clean_Inventry_Master!E:E,NOT FOUND,0)</f>
        <v>70</v>
      </c>
      <c r="I268" s="2">
        <f t="shared" si="13"/>
        <v>46235</v>
      </c>
      <c r="J268" t="str">
        <f t="shared" si="14"/>
        <v>Aug 2026</v>
      </c>
    </row>
    <row r="269" spans="1:10" x14ac:dyDescent="0.3">
      <c r="A269" t="s">
        <v>554</v>
      </c>
      <c r="B269" t="s">
        <v>555</v>
      </c>
      <c r="C269" t="s">
        <v>20</v>
      </c>
      <c r="D269" s="5">
        <v>7</v>
      </c>
      <c r="E269" t="s">
        <v>1308</v>
      </c>
      <c r="F269" t="s">
        <v>92</v>
      </c>
      <c r="G269" s="2">
        <f t="shared" si="12"/>
        <v>46074</v>
      </c>
      <c r="H269" cm="1">
        <f t="array" ref="H269">D269*_xlfn.XLOOKUP(C269,Clean_Inventry_Master!A:A,Clean_Inventry_Master!E:E,NOT FOUND,0)</f>
        <v>559.92999999999995</v>
      </c>
      <c r="I269" s="2">
        <f t="shared" si="13"/>
        <v>46054</v>
      </c>
      <c r="J269" t="str">
        <f t="shared" si="14"/>
        <v>Feb 2026</v>
      </c>
    </row>
    <row r="270" spans="1:10" x14ac:dyDescent="0.3">
      <c r="A270" t="s">
        <v>556</v>
      </c>
      <c r="B270" t="s">
        <v>76</v>
      </c>
      <c r="C270" t="s">
        <v>45</v>
      </c>
      <c r="D270" s="5">
        <v>8</v>
      </c>
      <c r="E270" t="s">
        <v>77</v>
      </c>
      <c r="F270" t="s">
        <v>78</v>
      </c>
      <c r="G270" s="2">
        <f t="shared" si="12"/>
        <v>46125</v>
      </c>
      <c r="H270" cm="1">
        <f t="array" ref="H270">D270*_xlfn.XLOOKUP(C270,Clean_Inventry_Master!A:A,Clean_Inventry_Master!E:E,NOT FOUND,0)</f>
        <v>151.91999999999999</v>
      </c>
      <c r="I270" s="2">
        <f t="shared" si="13"/>
        <v>46113</v>
      </c>
      <c r="J270" t="str">
        <f t="shared" si="14"/>
        <v>Apr 2026</v>
      </c>
    </row>
    <row r="271" spans="1:10" x14ac:dyDescent="0.3">
      <c r="A271" t="s">
        <v>557</v>
      </c>
      <c r="B271" t="s">
        <v>311</v>
      </c>
      <c r="C271" t="s">
        <v>39</v>
      </c>
      <c r="D271" s="5">
        <v>4</v>
      </c>
      <c r="E271" t="s">
        <v>77</v>
      </c>
      <c r="F271" t="s">
        <v>78</v>
      </c>
      <c r="G271" s="2">
        <f t="shared" si="12"/>
        <v>46061</v>
      </c>
      <c r="H271" cm="1">
        <f t="array" ref="H271">D271*_xlfn.XLOOKUP(C271,Clean_Inventry_Master!A:A,Clean_Inventry_Master!E:E,NOT FOUND,0)</f>
        <v>87.96</v>
      </c>
      <c r="I271" s="2">
        <f t="shared" si="13"/>
        <v>46054</v>
      </c>
      <c r="J271" t="str">
        <f t="shared" si="14"/>
        <v>Feb 2026</v>
      </c>
    </row>
    <row r="272" spans="1:10" x14ac:dyDescent="0.3">
      <c r="A272" t="s">
        <v>558</v>
      </c>
      <c r="B272" t="s">
        <v>183</v>
      </c>
      <c r="C272" t="s">
        <v>20</v>
      </c>
      <c r="D272" s="5">
        <v>7</v>
      </c>
      <c r="E272" t="s">
        <v>91</v>
      </c>
      <c r="F272" t="s">
        <v>92</v>
      </c>
      <c r="G272" s="2">
        <f t="shared" si="12"/>
        <v>46182</v>
      </c>
      <c r="H272" cm="1">
        <f t="array" ref="H272">D272*_xlfn.XLOOKUP(C272,Clean_Inventry_Master!A:A,Clean_Inventry_Master!E:E,NOT FOUND,0)</f>
        <v>559.92999999999995</v>
      </c>
      <c r="I272" s="2">
        <f t="shared" si="13"/>
        <v>46174</v>
      </c>
      <c r="J272" t="str">
        <f t="shared" si="14"/>
        <v>Jun 2026</v>
      </c>
    </row>
    <row r="273" spans="1:10" x14ac:dyDescent="0.3">
      <c r="A273" t="s">
        <v>559</v>
      </c>
      <c r="B273" t="s">
        <v>232</v>
      </c>
      <c r="C273" t="s">
        <v>33</v>
      </c>
      <c r="D273" s="5">
        <v>14</v>
      </c>
      <c r="E273" t="s">
        <v>91</v>
      </c>
      <c r="F273" t="s">
        <v>78</v>
      </c>
      <c r="G273" s="2">
        <f t="shared" si="12"/>
        <v>46186</v>
      </c>
      <c r="H273" cm="1">
        <f t="array" ref="H273">D273*_xlfn.XLOOKUP(C273,Clean_Inventry_Master!A:A,Clean_Inventry_Master!E:E,NOT FOUND,0)</f>
        <v>336</v>
      </c>
      <c r="I273" s="2">
        <f t="shared" si="13"/>
        <v>46174</v>
      </c>
      <c r="J273" t="str">
        <f t="shared" si="14"/>
        <v>Jun 2026</v>
      </c>
    </row>
    <row r="274" spans="1:10" x14ac:dyDescent="0.3">
      <c r="A274" t="s">
        <v>560</v>
      </c>
      <c r="B274" t="s">
        <v>401</v>
      </c>
      <c r="C274" t="s">
        <v>64</v>
      </c>
      <c r="D274" s="5">
        <v>2</v>
      </c>
      <c r="E274" t="s">
        <v>77</v>
      </c>
      <c r="F274" t="s">
        <v>83</v>
      </c>
      <c r="G274" s="2">
        <f t="shared" si="12"/>
        <v>46037</v>
      </c>
      <c r="H274" cm="1">
        <f t="array" ref="H274">D274*_xlfn.XLOOKUP(C274,Clean_Inventry_Master!A:A,Clean_Inventry_Master!E:E,NOT FOUND,0)</f>
        <v>39.979999999999997</v>
      </c>
      <c r="I274" s="2">
        <f t="shared" si="13"/>
        <v>46023</v>
      </c>
      <c r="J274" t="str">
        <f t="shared" si="14"/>
        <v>Jan 2026</v>
      </c>
    </row>
    <row r="275" spans="1:10" x14ac:dyDescent="0.3">
      <c r="A275" t="s">
        <v>561</v>
      </c>
      <c r="B275" t="s">
        <v>562</v>
      </c>
      <c r="C275" t="s">
        <v>31</v>
      </c>
      <c r="D275" s="5">
        <v>10</v>
      </c>
      <c r="E275" t="s">
        <v>91</v>
      </c>
      <c r="F275" t="s">
        <v>92</v>
      </c>
      <c r="G275" s="2">
        <f t="shared" si="12"/>
        <v>46135</v>
      </c>
      <c r="H275" cm="1">
        <f t="array" ref="H275">D275*_xlfn.XLOOKUP(C275,Clean_Inventry_Master!A:A,Clean_Inventry_Master!E:E,NOT FOUND,0)</f>
        <v>150</v>
      </c>
      <c r="I275" s="2">
        <f t="shared" si="13"/>
        <v>46113</v>
      </c>
      <c r="J275" t="str">
        <f t="shared" si="14"/>
        <v>Apr 2026</v>
      </c>
    </row>
    <row r="276" spans="1:10" x14ac:dyDescent="0.3">
      <c r="A276" t="s">
        <v>563</v>
      </c>
      <c r="B276" t="s">
        <v>564</v>
      </c>
      <c r="C276" t="s">
        <v>64</v>
      </c>
      <c r="D276" s="5">
        <v>2</v>
      </c>
      <c r="E276" t="s">
        <v>1308</v>
      </c>
      <c r="F276" t="s">
        <v>83</v>
      </c>
      <c r="G276" s="2">
        <f t="shared" si="12"/>
        <v>46108</v>
      </c>
      <c r="H276" cm="1">
        <f t="array" ref="H276">D276*_xlfn.XLOOKUP(C276,Clean_Inventry_Master!A:A,Clean_Inventry_Master!E:E,NOT FOUND,0)</f>
        <v>39.979999999999997</v>
      </c>
      <c r="I276" s="2">
        <f t="shared" si="13"/>
        <v>46082</v>
      </c>
      <c r="J276" t="str">
        <f t="shared" si="14"/>
        <v>Mar 2026</v>
      </c>
    </row>
    <row r="277" spans="1:10" x14ac:dyDescent="0.3">
      <c r="A277" t="s">
        <v>565</v>
      </c>
      <c r="B277" t="s">
        <v>562</v>
      </c>
      <c r="C277" t="s">
        <v>26</v>
      </c>
      <c r="D277" s="5">
        <v>11</v>
      </c>
      <c r="E277" t="s">
        <v>82</v>
      </c>
      <c r="F277" t="s">
        <v>83</v>
      </c>
      <c r="G277" s="2">
        <f t="shared" si="12"/>
        <v>46135</v>
      </c>
      <c r="H277" cm="1">
        <f t="array" ref="H277">D277*_xlfn.XLOOKUP(C277,Clean_Inventry_Master!A:A,Clean_Inventry_Master!E:E,NOT FOUND,0)</f>
        <v>989.89</v>
      </c>
      <c r="I277" s="2">
        <f t="shared" si="13"/>
        <v>46113</v>
      </c>
      <c r="J277" t="str">
        <f t="shared" si="14"/>
        <v>Apr 2026</v>
      </c>
    </row>
    <row r="278" spans="1:10" x14ac:dyDescent="0.3">
      <c r="A278" t="s">
        <v>566</v>
      </c>
      <c r="B278" t="s">
        <v>201</v>
      </c>
      <c r="C278" t="s">
        <v>26</v>
      </c>
      <c r="D278" s="5">
        <v>2</v>
      </c>
      <c r="E278" t="s">
        <v>77</v>
      </c>
      <c r="F278" t="s">
        <v>78</v>
      </c>
      <c r="G278" s="2">
        <f t="shared" si="12"/>
        <v>46238</v>
      </c>
      <c r="H278" cm="1">
        <f t="array" ref="H278">D278*_xlfn.XLOOKUP(C278,Clean_Inventry_Master!A:A,Clean_Inventry_Master!E:E,NOT FOUND,0)</f>
        <v>179.98</v>
      </c>
      <c r="I278" s="2">
        <f t="shared" si="13"/>
        <v>46235</v>
      </c>
      <c r="J278" t="str">
        <f t="shared" si="14"/>
        <v>Aug 2026</v>
      </c>
    </row>
    <row r="279" spans="1:10" x14ac:dyDescent="0.3">
      <c r="A279" t="s">
        <v>567</v>
      </c>
      <c r="B279" t="s">
        <v>568</v>
      </c>
      <c r="C279" t="s">
        <v>31</v>
      </c>
      <c r="D279" s="5">
        <v>9</v>
      </c>
      <c r="E279" t="s">
        <v>82</v>
      </c>
      <c r="F279" t="s">
        <v>83</v>
      </c>
      <c r="G279" s="2">
        <f t="shared" si="12"/>
        <v>46161</v>
      </c>
      <c r="H279" cm="1">
        <f t="array" ref="H279">D279*_xlfn.XLOOKUP(C279,Clean_Inventry_Master!A:A,Clean_Inventry_Master!E:E,NOT FOUND,0)</f>
        <v>135</v>
      </c>
      <c r="I279" s="2">
        <f t="shared" si="13"/>
        <v>46143</v>
      </c>
      <c r="J279" t="str">
        <f t="shared" si="14"/>
        <v>May 2026</v>
      </c>
    </row>
    <row r="280" spans="1:10" x14ac:dyDescent="0.3">
      <c r="A280" t="s">
        <v>569</v>
      </c>
      <c r="B280" t="s">
        <v>570</v>
      </c>
      <c r="C280" t="s">
        <v>37</v>
      </c>
      <c r="D280" s="5">
        <v>11</v>
      </c>
      <c r="E280" t="s">
        <v>77</v>
      </c>
      <c r="F280" t="s">
        <v>78</v>
      </c>
      <c r="G280" s="2">
        <f t="shared" si="12"/>
        <v>46106</v>
      </c>
      <c r="H280" cm="1">
        <f t="array" ref="H280">D280*_xlfn.XLOOKUP(C280,Clean_Inventry_Master!A:A,Clean_Inventry_Master!E:E,NOT FOUND,0)</f>
        <v>495</v>
      </c>
      <c r="I280" s="2">
        <f t="shared" si="13"/>
        <v>46082</v>
      </c>
      <c r="J280" t="str">
        <f t="shared" si="14"/>
        <v>Mar 2026</v>
      </c>
    </row>
    <row r="281" spans="1:10" x14ac:dyDescent="0.3">
      <c r="A281" t="s">
        <v>571</v>
      </c>
      <c r="B281" t="s">
        <v>572</v>
      </c>
      <c r="C281" t="s">
        <v>64</v>
      </c>
      <c r="D281" s="5">
        <v>1</v>
      </c>
      <c r="E281" t="s">
        <v>91</v>
      </c>
      <c r="F281" t="s">
        <v>92</v>
      </c>
      <c r="G281" s="2">
        <f t="shared" si="12"/>
        <v>46051</v>
      </c>
      <c r="H281" cm="1">
        <f t="array" ref="H281">D281*_xlfn.XLOOKUP(C281,Clean_Inventry_Master!A:A,Clean_Inventry_Master!E:E,NOT FOUND,0)</f>
        <v>19.989999999999998</v>
      </c>
      <c r="I281" s="2">
        <f t="shared" si="13"/>
        <v>46023</v>
      </c>
      <c r="J281" t="str">
        <f t="shared" si="14"/>
        <v>Jan 2026</v>
      </c>
    </row>
    <row r="282" spans="1:10" x14ac:dyDescent="0.3">
      <c r="A282" t="s">
        <v>573</v>
      </c>
      <c r="B282" t="s">
        <v>574</v>
      </c>
      <c r="C282" t="s">
        <v>64</v>
      </c>
      <c r="D282" s="5">
        <v>1</v>
      </c>
      <c r="E282" t="s">
        <v>1308</v>
      </c>
      <c r="F282" t="s">
        <v>83</v>
      </c>
      <c r="G282" s="2">
        <f t="shared" si="12"/>
        <v>46190</v>
      </c>
      <c r="H282" cm="1">
        <f t="array" ref="H282">D282*_xlfn.XLOOKUP(C282,Clean_Inventry_Master!A:A,Clean_Inventry_Master!E:E,NOT FOUND,0)</f>
        <v>19.989999999999998</v>
      </c>
      <c r="I282" s="2">
        <f t="shared" si="13"/>
        <v>46174</v>
      </c>
      <c r="J282" t="str">
        <f t="shared" si="14"/>
        <v>Jun 2026</v>
      </c>
    </row>
    <row r="283" spans="1:10" x14ac:dyDescent="0.3">
      <c r="A283" t="s">
        <v>575</v>
      </c>
      <c r="B283" t="s">
        <v>446</v>
      </c>
      <c r="C283" t="s">
        <v>66</v>
      </c>
      <c r="D283" s="5">
        <v>3</v>
      </c>
      <c r="E283" t="s">
        <v>91</v>
      </c>
      <c r="F283" t="s">
        <v>92</v>
      </c>
      <c r="G283" s="2">
        <f t="shared" si="12"/>
        <v>46261</v>
      </c>
      <c r="H283" cm="1">
        <f t="array" ref="H283">D283*_xlfn.XLOOKUP(C283,Clean_Inventry_Master!A:A,Clean_Inventry_Master!E:E,NOT FOUND,0)</f>
        <v>104.97</v>
      </c>
      <c r="I283" s="2">
        <f t="shared" si="13"/>
        <v>46235</v>
      </c>
      <c r="J283" t="str">
        <f t="shared" si="14"/>
        <v>Aug 2026</v>
      </c>
    </row>
    <row r="284" spans="1:10" x14ac:dyDescent="0.3">
      <c r="A284" t="s">
        <v>576</v>
      </c>
      <c r="B284" t="s">
        <v>115</v>
      </c>
      <c r="C284" t="s">
        <v>45</v>
      </c>
      <c r="D284" s="5">
        <v>3</v>
      </c>
      <c r="E284" t="s">
        <v>82</v>
      </c>
      <c r="F284" t="s">
        <v>83</v>
      </c>
      <c r="G284" s="2">
        <f t="shared" si="12"/>
        <v>46127</v>
      </c>
      <c r="H284" cm="1">
        <f t="array" ref="H284">D284*_xlfn.XLOOKUP(C284,Clean_Inventry_Master!A:A,Clean_Inventry_Master!E:E,NOT FOUND,0)</f>
        <v>56.97</v>
      </c>
      <c r="I284" s="2">
        <f t="shared" si="13"/>
        <v>46113</v>
      </c>
      <c r="J284" t="str">
        <f t="shared" si="14"/>
        <v>Apr 2026</v>
      </c>
    </row>
    <row r="285" spans="1:10" x14ac:dyDescent="0.3">
      <c r="A285" t="s">
        <v>577</v>
      </c>
      <c r="B285" t="s">
        <v>578</v>
      </c>
      <c r="C285" t="s">
        <v>33</v>
      </c>
      <c r="D285" s="5">
        <v>7</v>
      </c>
      <c r="E285" t="s">
        <v>82</v>
      </c>
      <c r="F285" t="s">
        <v>92</v>
      </c>
      <c r="G285" s="2">
        <f t="shared" si="12"/>
        <v>46123</v>
      </c>
      <c r="H285" cm="1">
        <f t="array" ref="H285">D285*_xlfn.XLOOKUP(C285,Clean_Inventry_Master!A:A,Clean_Inventry_Master!E:E,NOT FOUND,0)</f>
        <v>168</v>
      </c>
      <c r="I285" s="2">
        <f t="shared" si="13"/>
        <v>46113</v>
      </c>
      <c r="J285" t="str">
        <f t="shared" si="14"/>
        <v>Apr 2026</v>
      </c>
    </row>
    <row r="286" spans="1:10" x14ac:dyDescent="0.3">
      <c r="A286" t="s">
        <v>579</v>
      </c>
      <c r="B286" t="s">
        <v>177</v>
      </c>
      <c r="C286" t="s">
        <v>45</v>
      </c>
      <c r="D286" s="5">
        <v>12</v>
      </c>
      <c r="E286" t="s">
        <v>1308</v>
      </c>
      <c r="F286" t="s">
        <v>83</v>
      </c>
      <c r="G286" s="2">
        <f t="shared" si="12"/>
        <v>46129</v>
      </c>
      <c r="H286" cm="1">
        <f t="array" ref="H286">D286*_xlfn.XLOOKUP(C286,Clean_Inventry_Master!A:A,Clean_Inventry_Master!E:E,NOT FOUND,0)</f>
        <v>227.88</v>
      </c>
      <c r="I286" s="2">
        <f t="shared" si="13"/>
        <v>46113</v>
      </c>
      <c r="J286" t="str">
        <f t="shared" si="14"/>
        <v>Apr 2026</v>
      </c>
    </row>
    <row r="287" spans="1:10" x14ac:dyDescent="0.3">
      <c r="A287" t="s">
        <v>580</v>
      </c>
      <c r="B287" t="s">
        <v>320</v>
      </c>
      <c r="C287" t="s">
        <v>14</v>
      </c>
      <c r="D287" s="5">
        <v>2</v>
      </c>
      <c r="E287" t="s">
        <v>91</v>
      </c>
      <c r="F287" t="s">
        <v>83</v>
      </c>
      <c r="G287" s="2">
        <f t="shared" si="12"/>
        <v>46065</v>
      </c>
      <c r="H287" cm="1">
        <f t="array" ref="H287">D287*_xlfn.XLOOKUP(C287,Clean_Inventry_Master!A:A,Clean_Inventry_Master!E:E,NOT FOUND,0)</f>
        <v>70</v>
      </c>
      <c r="I287" s="2">
        <f t="shared" si="13"/>
        <v>46054</v>
      </c>
      <c r="J287" t="str">
        <f t="shared" si="14"/>
        <v>Feb 2026</v>
      </c>
    </row>
    <row r="288" spans="1:10" x14ac:dyDescent="0.3">
      <c r="A288" t="s">
        <v>581</v>
      </c>
      <c r="B288" t="s">
        <v>257</v>
      </c>
      <c r="C288" t="s">
        <v>49</v>
      </c>
      <c r="D288" s="5">
        <v>13</v>
      </c>
      <c r="E288" t="s">
        <v>91</v>
      </c>
      <c r="F288" t="s">
        <v>83</v>
      </c>
      <c r="G288" s="2">
        <f t="shared" si="12"/>
        <v>46176</v>
      </c>
      <c r="H288" cm="1">
        <f t="array" ref="H288">D288*_xlfn.XLOOKUP(C288,Clean_Inventry_Master!A:A,Clean_Inventry_Master!E:E,NOT FOUND,0)</f>
        <v>649.87</v>
      </c>
      <c r="I288" s="2">
        <f t="shared" si="13"/>
        <v>46174</v>
      </c>
      <c r="J288" t="str">
        <f t="shared" si="14"/>
        <v>Jun 2026</v>
      </c>
    </row>
    <row r="289" spans="1:10" x14ac:dyDescent="0.3">
      <c r="A289" t="s">
        <v>582</v>
      </c>
      <c r="B289" t="s">
        <v>481</v>
      </c>
      <c r="C289" t="s">
        <v>37</v>
      </c>
      <c r="D289" s="5">
        <v>13</v>
      </c>
      <c r="E289" t="s">
        <v>91</v>
      </c>
      <c r="F289" t="s">
        <v>78</v>
      </c>
      <c r="G289" s="2">
        <f t="shared" si="12"/>
        <v>46216</v>
      </c>
      <c r="H289" cm="1">
        <f t="array" ref="H289">D289*_xlfn.XLOOKUP(C289,Clean_Inventry_Master!A:A,Clean_Inventry_Master!E:E,NOT FOUND,0)</f>
        <v>585</v>
      </c>
      <c r="I289" s="2">
        <f t="shared" si="13"/>
        <v>46204</v>
      </c>
      <c r="J289" t="str">
        <f t="shared" si="14"/>
        <v>Jul 2026</v>
      </c>
    </row>
    <row r="290" spans="1:10" x14ac:dyDescent="0.3">
      <c r="A290" t="s">
        <v>583</v>
      </c>
      <c r="B290" t="s">
        <v>104</v>
      </c>
      <c r="C290" t="s">
        <v>20</v>
      </c>
      <c r="D290" s="5">
        <v>3</v>
      </c>
      <c r="E290" t="s">
        <v>91</v>
      </c>
      <c r="F290" t="s">
        <v>78</v>
      </c>
      <c r="G290" s="2">
        <f t="shared" si="12"/>
        <v>46275</v>
      </c>
      <c r="H290" cm="1">
        <f t="array" ref="H290">D290*_xlfn.XLOOKUP(C290,Clean_Inventry_Master!A:A,Clean_Inventry_Master!E:E,NOT FOUND,0)</f>
        <v>239.96999999999997</v>
      </c>
      <c r="I290" s="2">
        <f t="shared" si="13"/>
        <v>46266</v>
      </c>
      <c r="J290" t="str">
        <f t="shared" si="14"/>
        <v>Sep 2026</v>
      </c>
    </row>
    <row r="291" spans="1:10" x14ac:dyDescent="0.3">
      <c r="A291" t="s">
        <v>584</v>
      </c>
      <c r="B291" t="s">
        <v>585</v>
      </c>
      <c r="C291" t="s">
        <v>49</v>
      </c>
      <c r="D291" s="5">
        <v>5</v>
      </c>
      <c r="E291" t="s">
        <v>1308</v>
      </c>
      <c r="F291" t="s">
        <v>83</v>
      </c>
      <c r="G291" s="2">
        <f t="shared" si="12"/>
        <v>46132</v>
      </c>
      <c r="H291" cm="1">
        <f t="array" ref="H291">D291*_xlfn.XLOOKUP(C291,Clean_Inventry_Master!A:A,Clean_Inventry_Master!E:E,NOT FOUND,0)</f>
        <v>249.95000000000002</v>
      </c>
      <c r="I291" s="2">
        <f t="shared" si="13"/>
        <v>46113</v>
      </c>
      <c r="J291" t="str">
        <f t="shared" si="14"/>
        <v>Apr 2026</v>
      </c>
    </row>
    <row r="292" spans="1:10" x14ac:dyDescent="0.3">
      <c r="A292" t="s">
        <v>586</v>
      </c>
      <c r="B292" t="s">
        <v>587</v>
      </c>
      <c r="C292" t="s">
        <v>43</v>
      </c>
      <c r="D292" s="5">
        <v>12</v>
      </c>
      <c r="E292" t="s">
        <v>77</v>
      </c>
      <c r="F292" t="s">
        <v>83</v>
      </c>
      <c r="G292" s="2">
        <f t="shared" si="12"/>
        <v>46227</v>
      </c>
      <c r="H292" cm="1">
        <f t="array" ref="H292">D292*_xlfn.XLOOKUP(C292,Clean_Inventry_Master!A:A,Clean_Inventry_Master!E:E,NOT FOUND,0)</f>
        <v>102</v>
      </c>
      <c r="I292" s="2">
        <f t="shared" si="13"/>
        <v>46204</v>
      </c>
      <c r="J292" t="str">
        <f t="shared" si="14"/>
        <v>Jul 2026</v>
      </c>
    </row>
    <row r="293" spans="1:10" x14ac:dyDescent="0.3">
      <c r="A293" t="s">
        <v>589</v>
      </c>
      <c r="B293" t="s">
        <v>471</v>
      </c>
      <c r="C293" t="s">
        <v>52</v>
      </c>
      <c r="D293" s="5">
        <v>9</v>
      </c>
      <c r="E293" t="s">
        <v>77</v>
      </c>
      <c r="F293" t="s">
        <v>92</v>
      </c>
      <c r="G293" s="2">
        <f t="shared" si="12"/>
        <v>46277</v>
      </c>
      <c r="H293" cm="1">
        <f t="array" ref="H293">D293*_xlfn.XLOOKUP(C293,Clean_Inventry_Master!A:A,Clean_Inventry_Master!E:E,NOT FOUND,0)</f>
        <v>269.90999999999997</v>
      </c>
      <c r="I293" s="2">
        <f t="shared" si="13"/>
        <v>46266</v>
      </c>
      <c r="J293" t="str">
        <f t="shared" si="14"/>
        <v>Sep 2026</v>
      </c>
    </row>
    <row r="294" spans="1:10" x14ac:dyDescent="0.3">
      <c r="A294" t="s">
        <v>590</v>
      </c>
      <c r="B294" t="s">
        <v>485</v>
      </c>
      <c r="C294" t="s">
        <v>41</v>
      </c>
      <c r="D294" s="5">
        <v>3</v>
      </c>
      <c r="E294" t="s">
        <v>77</v>
      </c>
      <c r="F294" t="s">
        <v>92</v>
      </c>
      <c r="G294" s="2">
        <f t="shared" si="12"/>
        <v>46077</v>
      </c>
      <c r="H294" cm="1">
        <f t="array" ref="H294">D294*_xlfn.XLOOKUP(C294,Clean_Inventry_Master!A:A,Clean_Inventry_Master!E:E,NOT FOUND,0)</f>
        <v>119.97</v>
      </c>
      <c r="I294" s="2">
        <f t="shared" si="13"/>
        <v>46054</v>
      </c>
      <c r="J294" t="str">
        <f t="shared" si="14"/>
        <v>Feb 2026</v>
      </c>
    </row>
    <row r="295" spans="1:10" x14ac:dyDescent="0.3">
      <c r="A295" t="s">
        <v>591</v>
      </c>
      <c r="B295" t="s">
        <v>526</v>
      </c>
      <c r="C295" t="s">
        <v>43</v>
      </c>
      <c r="D295" s="5">
        <v>11</v>
      </c>
      <c r="E295" t="s">
        <v>82</v>
      </c>
      <c r="F295" t="s">
        <v>83</v>
      </c>
      <c r="G295" s="2">
        <f t="shared" si="12"/>
        <v>46098</v>
      </c>
      <c r="H295" cm="1">
        <f t="array" ref="H295">D295*_xlfn.XLOOKUP(C295,Clean_Inventry_Master!A:A,Clean_Inventry_Master!E:E,NOT FOUND,0)</f>
        <v>93.5</v>
      </c>
      <c r="I295" s="2">
        <f t="shared" si="13"/>
        <v>46082</v>
      </c>
      <c r="J295" t="str">
        <f t="shared" si="14"/>
        <v>Mar 2026</v>
      </c>
    </row>
    <row r="296" spans="1:10" x14ac:dyDescent="0.3">
      <c r="A296" t="s">
        <v>592</v>
      </c>
      <c r="B296" t="s">
        <v>593</v>
      </c>
      <c r="C296" t="s">
        <v>33</v>
      </c>
      <c r="D296" s="5">
        <v>1</v>
      </c>
      <c r="E296" t="s">
        <v>1308</v>
      </c>
      <c r="F296" t="s">
        <v>83</v>
      </c>
      <c r="G296" s="2">
        <f t="shared" si="12"/>
        <v>46116</v>
      </c>
      <c r="H296" cm="1">
        <f t="array" ref="H296">D296*_xlfn.XLOOKUP(C296,Clean_Inventry_Master!A:A,Clean_Inventry_Master!E:E,NOT FOUND,0)</f>
        <v>24</v>
      </c>
      <c r="I296" s="2">
        <f t="shared" si="13"/>
        <v>46113</v>
      </c>
      <c r="J296" t="str">
        <f t="shared" si="14"/>
        <v>Apr 2026</v>
      </c>
    </row>
    <row r="297" spans="1:10" x14ac:dyDescent="0.3">
      <c r="A297" t="s">
        <v>594</v>
      </c>
      <c r="B297" t="s">
        <v>595</v>
      </c>
      <c r="C297" t="s">
        <v>24</v>
      </c>
      <c r="D297" s="5">
        <v>4</v>
      </c>
      <c r="E297" t="s">
        <v>77</v>
      </c>
      <c r="F297" t="s">
        <v>92</v>
      </c>
      <c r="G297" s="2">
        <f t="shared" si="12"/>
        <v>46229</v>
      </c>
      <c r="H297" cm="1">
        <f t="array" ref="H297">D297*_xlfn.XLOOKUP(C297,Clean_Inventry_Master!A:A,Clean_Inventry_Master!E:E,NOT FOUND,0)</f>
        <v>559.96</v>
      </c>
      <c r="I297" s="2">
        <f t="shared" si="13"/>
        <v>46204</v>
      </c>
      <c r="J297" t="str">
        <f t="shared" si="14"/>
        <v>Jul 2026</v>
      </c>
    </row>
    <row r="298" spans="1:10" x14ac:dyDescent="0.3">
      <c r="A298" t="s">
        <v>596</v>
      </c>
      <c r="B298" t="s">
        <v>481</v>
      </c>
      <c r="C298" t="s">
        <v>60</v>
      </c>
      <c r="D298" s="5">
        <v>7</v>
      </c>
      <c r="E298" t="s">
        <v>1308</v>
      </c>
      <c r="F298" t="s">
        <v>92</v>
      </c>
      <c r="G298" s="2">
        <f t="shared" si="12"/>
        <v>46216</v>
      </c>
      <c r="H298" cm="1">
        <f t="array" ref="H298">D298*_xlfn.XLOOKUP(C298,Clean_Inventry_Master!A:A,Clean_Inventry_Master!E:E,NOT FOUND,0)</f>
        <v>629.92999999999995</v>
      </c>
      <c r="I298" s="2">
        <f t="shared" si="13"/>
        <v>46204</v>
      </c>
      <c r="J298" t="str">
        <f t="shared" si="14"/>
        <v>Jul 2026</v>
      </c>
    </row>
    <row r="299" spans="1:10" x14ac:dyDescent="0.3">
      <c r="A299" t="s">
        <v>597</v>
      </c>
      <c r="B299" t="s">
        <v>272</v>
      </c>
      <c r="C299" t="s">
        <v>60</v>
      </c>
      <c r="D299" s="5">
        <v>9</v>
      </c>
      <c r="E299" t="s">
        <v>1308</v>
      </c>
      <c r="F299" t="s">
        <v>83</v>
      </c>
      <c r="G299" s="2">
        <f t="shared" si="12"/>
        <v>46288</v>
      </c>
      <c r="H299" cm="1">
        <f t="array" ref="H299">D299*_xlfn.XLOOKUP(C299,Clean_Inventry_Master!A:A,Clean_Inventry_Master!E:E,NOT FOUND,0)</f>
        <v>809.91</v>
      </c>
      <c r="I299" s="2">
        <f t="shared" si="13"/>
        <v>46266</v>
      </c>
      <c r="J299" t="str">
        <f t="shared" si="14"/>
        <v>Sep 2026</v>
      </c>
    </row>
    <row r="300" spans="1:10" x14ac:dyDescent="0.3">
      <c r="A300" t="s">
        <v>598</v>
      </c>
      <c r="B300" t="s">
        <v>213</v>
      </c>
      <c r="C300" t="s">
        <v>47</v>
      </c>
      <c r="D300" s="5">
        <v>5</v>
      </c>
      <c r="E300" t="s">
        <v>1308</v>
      </c>
      <c r="F300" t="s">
        <v>83</v>
      </c>
      <c r="G300" s="2">
        <f t="shared" si="12"/>
        <v>46264</v>
      </c>
      <c r="H300" cm="1">
        <f t="array" ref="H300">D300*_xlfn.XLOOKUP(C300,Clean_Inventry_Master!A:A,Clean_Inventry_Master!E:E,NOT FOUND,0)</f>
        <v>649.95000000000005</v>
      </c>
      <c r="I300" s="2">
        <f t="shared" si="13"/>
        <v>46235</v>
      </c>
      <c r="J300" t="str">
        <f t="shared" si="14"/>
        <v>Aug 2026</v>
      </c>
    </row>
    <row r="301" spans="1:10" x14ac:dyDescent="0.3">
      <c r="A301" t="s">
        <v>599</v>
      </c>
      <c r="B301" t="s">
        <v>458</v>
      </c>
      <c r="C301" t="s">
        <v>14</v>
      </c>
      <c r="D301" s="5">
        <v>4</v>
      </c>
      <c r="E301" t="s">
        <v>1308</v>
      </c>
      <c r="F301" t="s">
        <v>92</v>
      </c>
      <c r="G301" s="2">
        <f t="shared" si="12"/>
        <v>46214</v>
      </c>
      <c r="H301" cm="1">
        <f t="array" ref="H301">D301*_xlfn.XLOOKUP(C301,Clean_Inventry_Master!A:A,Clean_Inventry_Master!E:E,NOT FOUND,0)</f>
        <v>140</v>
      </c>
      <c r="I301" s="2">
        <f t="shared" si="13"/>
        <v>46204</v>
      </c>
      <c r="J301" t="str">
        <f t="shared" si="14"/>
        <v>Jul 2026</v>
      </c>
    </row>
    <row r="302" spans="1:10" x14ac:dyDescent="0.3">
      <c r="A302" t="s">
        <v>600</v>
      </c>
      <c r="B302" t="s">
        <v>601</v>
      </c>
      <c r="C302" t="s">
        <v>49</v>
      </c>
      <c r="D302" s="5">
        <v>6</v>
      </c>
      <c r="E302" t="s">
        <v>1308</v>
      </c>
      <c r="F302" t="s">
        <v>92</v>
      </c>
      <c r="G302" s="2">
        <f t="shared" si="12"/>
        <v>46295</v>
      </c>
      <c r="H302" cm="1">
        <f t="array" ref="H302">D302*_xlfn.XLOOKUP(C302,Clean_Inventry_Master!A:A,Clean_Inventry_Master!E:E,NOT FOUND,0)</f>
        <v>299.94</v>
      </c>
      <c r="I302" s="2">
        <f t="shared" si="13"/>
        <v>46266</v>
      </c>
      <c r="J302" t="str">
        <f t="shared" si="14"/>
        <v>Sep 2026</v>
      </c>
    </row>
    <row r="303" spans="1:10" x14ac:dyDescent="0.3">
      <c r="A303" t="s">
        <v>602</v>
      </c>
      <c r="B303" t="s">
        <v>448</v>
      </c>
      <c r="C303" t="s">
        <v>26</v>
      </c>
      <c r="D303" s="5">
        <v>8</v>
      </c>
      <c r="E303" t="s">
        <v>91</v>
      </c>
      <c r="F303" t="s">
        <v>92</v>
      </c>
      <c r="G303" s="2">
        <f t="shared" si="12"/>
        <v>46191</v>
      </c>
      <c r="H303" cm="1">
        <f t="array" ref="H303">D303*_xlfn.XLOOKUP(C303,Clean_Inventry_Master!A:A,Clean_Inventry_Master!E:E,NOT FOUND,0)</f>
        <v>719.92</v>
      </c>
      <c r="I303" s="2">
        <f t="shared" si="13"/>
        <v>46174</v>
      </c>
      <c r="J303" t="str">
        <f t="shared" si="14"/>
        <v>Jun 2026</v>
      </c>
    </row>
    <row r="304" spans="1:10" x14ac:dyDescent="0.3">
      <c r="A304" t="s">
        <v>603</v>
      </c>
      <c r="B304" t="s">
        <v>278</v>
      </c>
      <c r="C304" t="s">
        <v>31</v>
      </c>
      <c r="D304" s="5">
        <v>2</v>
      </c>
      <c r="E304" t="s">
        <v>1308</v>
      </c>
      <c r="F304" t="s">
        <v>83</v>
      </c>
      <c r="G304" s="2">
        <f t="shared" si="12"/>
        <v>46256</v>
      </c>
      <c r="H304" cm="1">
        <f t="array" ref="H304">D304*_xlfn.XLOOKUP(C304,Clean_Inventry_Master!A:A,Clean_Inventry_Master!E:E,NOT FOUND,0)</f>
        <v>30</v>
      </c>
      <c r="I304" s="2">
        <f t="shared" si="13"/>
        <v>46235</v>
      </c>
      <c r="J304" t="str">
        <f t="shared" si="14"/>
        <v>Aug 2026</v>
      </c>
    </row>
    <row r="305" spans="1:10" x14ac:dyDescent="0.3">
      <c r="A305" t="s">
        <v>604</v>
      </c>
      <c r="B305" t="s">
        <v>605</v>
      </c>
      <c r="C305" t="s">
        <v>43</v>
      </c>
      <c r="D305" s="5">
        <v>10</v>
      </c>
      <c r="E305" t="s">
        <v>1308</v>
      </c>
      <c r="F305" t="s">
        <v>92</v>
      </c>
      <c r="G305" s="2">
        <f t="shared" si="12"/>
        <v>46096</v>
      </c>
      <c r="H305" cm="1">
        <f t="array" ref="H305">D305*_xlfn.XLOOKUP(C305,Clean_Inventry_Master!A:A,Clean_Inventry_Master!E:E,NOT FOUND,0)</f>
        <v>85</v>
      </c>
      <c r="I305" s="2">
        <f t="shared" si="13"/>
        <v>46082</v>
      </c>
      <c r="J305" t="str">
        <f t="shared" si="14"/>
        <v>Mar 2026</v>
      </c>
    </row>
    <row r="306" spans="1:10" x14ac:dyDescent="0.3">
      <c r="A306" t="s">
        <v>606</v>
      </c>
      <c r="B306" t="s">
        <v>607</v>
      </c>
      <c r="C306" t="s">
        <v>60</v>
      </c>
      <c r="D306" s="5">
        <v>13</v>
      </c>
      <c r="E306" t="s">
        <v>1308</v>
      </c>
      <c r="F306" t="s">
        <v>83</v>
      </c>
      <c r="G306" s="2">
        <f t="shared" si="12"/>
        <v>46082</v>
      </c>
      <c r="H306" cm="1">
        <f t="array" ref="H306">D306*_xlfn.XLOOKUP(C306,Clean_Inventry_Master!A:A,Clean_Inventry_Master!E:E,NOT FOUND,0)</f>
        <v>1169.8699999999999</v>
      </c>
      <c r="I306" s="2">
        <f t="shared" si="13"/>
        <v>46082</v>
      </c>
      <c r="J306" t="str">
        <f t="shared" si="14"/>
        <v>Mar 2026</v>
      </c>
    </row>
    <row r="307" spans="1:10" x14ac:dyDescent="0.3">
      <c r="A307" t="s">
        <v>608</v>
      </c>
      <c r="B307" t="s">
        <v>282</v>
      </c>
      <c r="C307" t="s">
        <v>54</v>
      </c>
      <c r="D307" s="5">
        <v>14</v>
      </c>
      <c r="E307" t="s">
        <v>91</v>
      </c>
      <c r="F307" t="s">
        <v>92</v>
      </c>
      <c r="G307" s="2">
        <f t="shared" si="12"/>
        <v>46167</v>
      </c>
      <c r="H307" cm="1">
        <f t="array" ref="H307">D307*_xlfn.XLOOKUP(C307,Clean_Inventry_Master!A:A,Clean_Inventry_Master!E:E,NOT FOUND,0)</f>
        <v>4899.8600000000006</v>
      </c>
      <c r="I307" s="2">
        <f t="shared" si="13"/>
        <v>46143</v>
      </c>
      <c r="J307" t="str">
        <f t="shared" si="14"/>
        <v>May 2026</v>
      </c>
    </row>
    <row r="308" spans="1:10" x14ac:dyDescent="0.3">
      <c r="A308" t="s">
        <v>609</v>
      </c>
      <c r="B308" t="s">
        <v>610</v>
      </c>
      <c r="C308" t="s">
        <v>68</v>
      </c>
      <c r="D308" s="5">
        <v>6</v>
      </c>
      <c r="E308" t="s">
        <v>91</v>
      </c>
      <c r="F308" t="s">
        <v>78</v>
      </c>
      <c r="G308" s="2">
        <f t="shared" si="12"/>
        <v>46293</v>
      </c>
      <c r="H308" cm="1">
        <f t="array" ref="H308">D308*_xlfn.XLOOKUP(C308,Clean_Inventry_Master!A:A,Clean_Inventry_Master!E:E,NOT FOUND,0)</f>
        <v>255</v>
      </c>
      <c r="I308" s="2">
        <f t="shared" si="13"/>
        <v>46266</v>
      </c>
      <c r="J308" t="str">
        <f t="shared" si="14"/>
        <v>Sep 2026</v>
      </c>
    </row>
    <row r="309" spans="1:10" x14ac:dyDescent="0.3">
      <c r="A309" t="s">
        <v>611</v>
      </c>
      <c r="B309" t="s">
        <v>181</v>
      </c>
      <c r="C309" t="s">
        <v>47</v>
      </c>
      <c r="D309" s="5">
        <v>14</v>
      </c>
      <c r="E309" t="s">
        <v>1308</v>
      </c>
      <c r="F309" t="s">
        <v>92</v>
      </c>
      <c r="G309" s="2">
        <f t="shared" si="12"/>
        <v>46137</v>
      </c>
      <c r="H309" cm="1">
        <f t="array" ref="H309">D309*_xlfn.XLOOKUP(C309,Clean_Inventry_Master!A:A,Clean_Inventry_Master!E:E,NOT FOUND,0)</f>
        <v>1819.8600000000001</v>
      </c>
      <c r="I309" s="2">
        <f t="shared" si="13"/>
        <v>46113</v>
      </c>
      <c r="J309" t="str">
        <f t="shared" si="14"/>
        <v>Apr 2026</v>
      </c>
    </row>
    <row r="310" spans="1:10" x14ac:dyDescent="0.3">
      <c r="A310" t="s">
        <v>612</v>
      </c>
      <c r="B310" t="s">
        <v>394</v>
      </c>
      <c r="C310" t="s">
        <v>26</v>
      </c>
      <c r="D310" s="5">
        <v>12</v>
      </c>
      <c r="E310" t="s">
        <v>77</v>
      </c>
      <c r="F310" t="s">
        <v>83</v>
      </c>
      <c r="G310" s="2">
        <f t="shared" si="12"/>
        <v>46217</v>
      </c>
      <c r="H310" cm="1">
        <f t="array" ref="H310">D310*_xlfn.XLOOKUP(C310,Clean_Inventry_Master!A:A,Clean_Inventry_Master!E:E,NOT FOUND,0)</f>
        <v>1079.8799999999999</v>
      </c>
      <c r="I310" s="2">
        <f t="shared" si="13"/>
        <v>46204</v>
      </c>
      <c r="J310" t="str">
        <f t="shared" si="14"/>
        <v>Jul 2026</v>
      </c>
    </row>
    <row r="311" spans="1:10" x14ac:dyDescent="0.3">
      <c r="A311" t="s">
        <v>613</v>
      </c>
      <c r="B311" t="s">
        <v>243</v>
      </c>
      <c r="C311" t="s">
        <v>52</v>
      </c>
      <c r="D311" s="5">
        <v>1</v>
      </c>
      <c r="E311" t="s">
        <v>82</v>
      </c>
      <c r="F311" t="s">
        <v>78</v>
      </c>
      <c r="G311" s="2">
        <f t="shared" si="12"/>
        <v>46276</v>
      </c>
      <c r="H311" cm="1">
        <f t="array" ref="H311">D311*_xlfn.XLOOKUP(C311,Clean_Inventry_Master!A:A,Clean_Inventry_Master!E:E,NOT FOUND,0)</f>
        <v>29.99</v>
      </c>
      <c r="I311" s="2">
        <f t="shared" si="13"/>
        <v>46266</v>
      </c>
      <c r="J311" t="str">
        <f t="shared" si="14"/>
        <v>Sep 2026</v>
      </c>
    </row>
    <row r="312" spans="1:10" x14ac:dyDescent="0.3">
      <c r="A312" t="s">
        <v>614</v>
      </c>
      <c r="B312" t="s">
        <v>605</v>
      </c>
      <c r="C312" t="s">
        <v>37</v>
      </c>
      <c r="D312" s="5">
        <v>5</v>
      </c>
      <c r="E312" t="s">
        <v>1308</v>
      </c>
      <c r="F312" t="s">
        <v>92</v>
      </c>
      <c r="G312" s="2">
        <f t="shared" si="12"/>
        <v>46096</v>
      </c>
      <c r="H312" cm="1">
        <f t="array" ref="H312">D312*_xlfn.XLOOKUP(C312,Clean_Inventry_Master!A:A,Clean_Inventry_Master!E:E,NOT FOUND,0)</f>
        <v>225</v>
      </c>
      <c r="I312" s="2">
        <f t="shared" si="13"/>
        <v>46082</v>
      </c>
      <c r="J312" t="str">
        <f t="shared" si="14"/>
        <v>Mar 2026</v>
      </c>
    </row>
    <row r="313" spans="1:10" x14ac:dyDescent="0.3">
      <c r="A313" t="s">
        <v>615</v>
      </c>
      <c r="B313" t="s">
        <v>616</v>
      </c>
      <c r="C313" t="s">
        <v>22</v>
      </c>
      <c r="D313" s="5">
        <v>9</v>
      </c>
      <c r="E313" t="s">
        <v>82</v>
      </c>
      <c r="F313" t="s">
        <v>83</v>
      </c>
      <c r="G313" s="2">
        <f t="shared" si="12"/>
        <v>46144</v>
      </c>
      <c r="H313" cm="1">
        <f t="array" ref="H313">D313*_xlfn.XLOOKUP(C313,Clean_Inventry_Master!A:A,Clean_Inventry_Master!E:E,NOT FOUND,0)</f>
        <v>1079.9099999999999</v>
      </c>
      <c r="I313" s="2">
        <f t="shared" si="13"/>
        <v>46143</v>
      </c>
      <c r="J313" t="str">
        <f t="shared" si="14"/>
        <v>May 2026</v>
      </c>
    </row>
    <row r="314" spans="1:10" x14ac:dyDescent="0.3">
      <c r="A314" t="s">
        <v>617</v>
      </c>
      <c r="B314" t="s">
        <v>618</v>
      </c>
      <c r="C314" t="s">
        <v>28</v>
      </c>
      <c r="D314" s="5">
        <v>1</v>
      </c>
      <c r="E314" t="s">
        <v>82</v>
      </c>
      <c r="F314" t="s">
        <v>92</v>
      </c>
      <c r="G314" s="2">
        <f t="shared" si="12"/>
        <v>46227</v>
      </c>
      <c r="H314" cm="1">
        <f t="array" ref="H314">D314*_xlfn.XLOOKUP(C314,Clean_Inventry_Master!A:A,Clean_Inventry_Master!E:E,NOT FOUND,0)</f>
        <v>180</v>
      </c>
      <c r="I314" s="2">
        <f t="shared" si="13"/>
        <v>46204</v>
      </c>
      <c r="J314" t="str">
        <f t="shared" si="14"/>
        <v>Jul 2026</v>
      </c>
    </row>
    <row r="315" spans="1:10" x14ac:dyDescent="0.3">
      <c r="A315" t="s">
        <v>619</v>
      </c>
      <c r="B315" t="s">
        <v>147</v>
      </c>
      <c r="C315" t="s">
        <v>64</v>
      </c>
      <c r="D315" s="5">
        <v>8</v>
      </c>
      <c r="E315" t="s">
        <v>1308</v>
      </c>
      <c r="F315" t="s">
        <v>83</v>
      </c>
      <c r="G315" s="2">
        <f t="shared" si="12"/>
        <v>46154</v>
      </c>
      <c r="H315" cm="1">
        <f t="array" ref="H315">D315*_xlfn.XLOOKUP(C315,Clean_Inventry_Master!A:A,Clean_Inventry_Master!E:E,NOT FOUND,0)</f>
        <v>159.91999999999999</v>
      </c>
      <c r="I315" s="2">
        <f t="shared" si="13"/>
        <v>46143</v>
      </c>
      <c r="J315" t="str">
        <f t="shared" si="14"/>
        <v>May 2026</v>
      </c>
    </row>
    <row r="316" spans="1:10" x14ac:dyDescent="0.3">
      <c r="A316" t="s">
        <v>620</v>
      </c>
      <c r="B316" t="s">
        <v>621</v>
      </c>
      <c r="C316" t="s">
        <v>41</v>
      </c>
      <c r="D316" s="5">
        <v>4</v>
      </c>
      <c r="E316" t="s">
        <v>1308</v>
      </c>
      <c r="F316" t="s">
        <v>78</v>
      </c>
      <c r="G316" s="2">
        <f t="shared" si="12"/>
        <v>46248</v>
      </c>
      <c r="H316" cm="1">
        <f t="array" ref="H316">D316*_xlfn.XLOOKUP(C316,Clean_Inventry_Master!A:A,Clean_Inventry_Master!E:E,NOT FOUND,0)</f>
        <v>159.96</v>
      </c>
      <c r="I316" s="2">
        <f t="shared" si="13"/>
        <v>46235</v>
      </c>
      <c r="J316" t="str">
        <f t="shared" si="14"/>
        <v>Aug 2026</v>
      </c>
    </row>
    <row r="317" spans="1:10" x14ac:dyDescent="0.3">
      <c r="A317" t="s">
        <v>622</v>
      </c>
      <c r="B317" t="s">
        <v>623</v>
      </c>
      <c r="C317" t="s">
        <v>45</v>
      </c>
      <c r="D317" s="5">
        <v>8</v>
      </c>
      <c r="E317" t="s">
        <v>1308</v>
      </c>
      <c r="F317" t="s">
        <v>92</v>
      </c>
      <c r="G317" s="2">
        <f t="shared" si="12"/>
        <v>46109</v>
      </c>
      <c r="H317" cm="1">
        <f t="array" ref="H317">D317*_xlfn.XLOOKUP(C317,Clean_Inventry_Master!A:A,Clean_Inventry_Master!E:E,NOT FOUND,0)</f>
        <v>151.91999999999999</v>
      </c>
      <c r="I317" s="2">
        <f t="shared" si="13"/>
        <v>46082</v>
      </c>
      <c r="J317" t="str">
        <f t="shared" si="14"/>
        <v>Mar 2026</v>
      </c>
    </row>
    <row r="318" spans="1:10" x14ac:dyDescent="0.3">
      <c r="A318" t="s">
        <v>624</v>
      </c>
      <c r="B318" t="s">
        <v>625</v>
      </c>
      <c r="C318" t="s">
        <v>35</v>
      </c>
      <c r="D318" s="5">
        <v>3</v>
      </c>
      <c r="E318" t="s">
        <v>1308</v>
      </c>
      <c r="F318" t="s">
        <v>92</v>
      </c>
      <c r="G318" s="2">
        <f t="shared" si="12"/>
        <v>46032</v>
      </c>
      <c r="H318" cm="1">
        <f t="array" ref="H318">D318*_xlfn.XLOOKUP(C318,Clean_Inventry_Master!A:A,Clean_Inventry_Master!E:E,NOT FOUND,0)</f>
        <v>29.97</v>
      </c>
      <c r="I318" s="2">
        <f t="shared" si="13"/>
        <v>46023</v>
      </c>
      <c r="J318" t="str">
        <f t="shared" si="14"/>
        <v>Jan 2026</v>
      </c>
    </row>
    <row r="319" spans="1:10" x14ac:dyDescent="0.3">
      <c r="A319" t="s">
        <v>626</v>
      </c>
      <c r="B319" t="s">
        <v>627</v>
      </c>
      <c r="C319" t="s">
        <v>26</v>
      </c>
      <c r="D319" s="5">
        <v>5</v>
      </c>
      <c r="E319" t="s">
        <v>82</v>
      </c>
      <c r="F319" t="s">
        <v>78</v>
      </c>
      <c r="G319" s="2">
        <f t="shared" si="12"/>
        <v>46158</v>
      </c>
      <c r="H319" cm="1">
        <f t="array" ref="H319">D319*_xlfn.XLOOKUP(C319,Clean_Inventry_Master!A:A,Clean_Inventry_Master!E:E,NOT FOUND,0)</f>
        <v>449.95</v>
      </c>
      <c r="I319" s="2">
        <f t="shared" si="13"/>
        <v>46143</v>
      </c>
      <c r="J319" t="str">
        <f t="shared" si="14"/>
        <v>May 2026</v>
      </c>
    </row>
    <row r="320" spans="1:10" x14ac:dyDescent="0.3">
      <c r="A320" t="s">
        <v>628</v>
      </c>
      <c r="B320" t="s">
        <v>629</v>
      </c>
      <c r="C320" t="s">
        <v>47</v>
      </c>
      <c r="D320" s="5">
        <v>10</v>
      </c>
      <c r="E320" t="s">
        <v>91</v>
      </c>
      <c r="F320" t="s">
        <v>92</v>
      </c>
      <c r="G320" s="2">
        <f t="shared" si="12"/>
        <v>46291</v>
      </c>
      <c r="H320" cm="1">
        <f t="array" ref="H320">D320*_xlfn.XLOOKUP(C320,Clean_Inventry_Master!A:A,Clean_Inventry_Master!E:E,NOT FOUND,0)</f>
        <v>1299.9000000000001</v>
      </c>
      <c r="I320" s="2">
        <f t="shared" si="13"/>
        <v>46266</v>
      </c>
      <c r="J320" t="str">
        <f t="shared" si="14"/>
        <v>Sep 2026</v>
      </c>
    </row>
    <row r="321" spans="1:10" x14ac:dyDescent="0.3">
      <c r="A321" t="s">
        <v>630</v>
      </c>
      <c r="B321" t="s">
        <v>631</v>
      </c>
      <c r="C321" t="s">
        <v>39</v>
      </c>
      <c r="D321" s="5">
        <v>3</v>
      </c>
      <c r="E321" t="s">
        <v>82</v>
      </c>
      <c r="F321" t="s">
        <v>92</v>
      </c>
      <c r="G321" s="2">
        <f t="shared" si="12"/>
        <v>46294</v>
      </c>
      <c r="H321" cm="1">
        <f t="array" ref="H321">D321*_xlfn.XLOOKUP(C321,Clean_Inventry_Master!A:A,Clean_Inventry_Master!E:E,NOT FOUND,0)</f>
        <v>65.97</v>
      </c>
      <c r="I321" s="2">
        <f t="shared" si="13"/>
        <v>46266</v>
      </c>
      <c r="J321" t="str">
        <f t="shared" si="14"/>
        <v>Sep 2026</v>
      </c>
    </row>
    <row r="322" spans="1:10" x14ac:dyDescent="0.3">
      <c r="A322" t="s">
        <v>632</v>
      </c>
      <c r="B322" t="s">
        <v>633</v>
      </c>
      <c r="C322" t="s">
        <v>18</v>
      </c>
      <c r="D322" s="5">
        <v>8</v>
      </c>
      <c r="E322" t="s">
        <v>91</v>
      </c>
      <c r="F322" t="s">
        <v>92</v>
      </c>
      <c r="G322" s="2">
        <f t="shared" ref="G322:G385" si="15">IF(ISNUMBER(SEARCH("-", B322)), DATEVALUE(B322), DATE(RIGHT(B322,4), LEFT(B322, FIND("/", B322)-1), MID(B322, FIND("/", B322)+1, FIND("/", B322, FIND("/", B322)+1) - FIND("/", B322) - 1)))</f>
        <v>46288</v>
      </c>
      <c r="H322" cm="1">
        <f t="array" ref="H322">D322*_xlfn.XLOOKUP(C322,Clean_Inventry_Master!A:A,Clean_Inventry_Master!E:E,NOT FOUND,0)</f>
        <v>559.91999999999996</v>
      </c>
      <c r="I322" s="2">
        <f t="shared" ref="I322:I385" si="16">DATE(YEAR(G322),MONTH(G322),1)</f>
        <v>46266</v>
      </c>
      <c r="J322" t="str">
        <f t="shared" ref="J322:J385" si="17">TEXT(I322,"mmm yyyy")</f>
        <v>Sep 2026</v>
      </c>
    </row>
    <row r="323" spans="1:10" x14ac:dyDescent="0.3">
      <c r="A323" t="s">
        <v>634</v>
      </c>
      <c r="B323" t="s">
        <v>376</v>
      </c>
      <c r="C323" t="s">
        <v>35</v>
      </c>
      <c r="D323" s="5">
        <v>5</v>
      </c>
      <c r="E323" t="s">
        <v>91</v>
      </c>
      <c r="F323" t="s">
        <v>83</v>
      </c>
      <c r="G323" s="2">
        <f t="shared" si="15"/>
        <v>46242</v>
      </c>
      <c r="H323" cm="1">
        <f t="array" ref="H323">D323*_xlfn.XLOOKUP(C323,Clean_Inventry_Master!A:A,Clean_Inventry_Master!E:E,NOT FOUND,0)</f>
        <v>49.95</v>
      </c>
      <c r="I323" s="2">
        <f t="shared" si="16"/>
        <v>46235</v>
      </c>
      <c r="J323" t="str">
        <f t="shared" si="17"/>
        <v>Aug 2026</v>
      </c>
    </row>
    <row r="324" spans="1:10" x14ac:dyDescent="0.3">
      <c r="A324" t="s">
        <v>635</v>
      </c>
      <c r="B324" t="s">
        <v>544</v>
      </c>
      <c r="C324" t="s">
        <v>16</v>
      </c>
      <c r="D324" s="5">
        <v>5</v>
      </c>
      <c r="E324" t="s">
        <v>91</v>
      </c>
      <c r="F324" t="s">
        <v>83</v>
      </c>
      <c r="G324" s="2">
        <f t="shared" si="15"/>
        <v>46134</v>
      </c>
      <c r="H324" cm="1">
        <f t="array" ref="H324">D324*_xlfn.XLOOKUP(C324,Clean_Inventry_Master!A:A,Clean_Inventry_Master!E:E,NOT FOUND,0)</f>
        <v>1145</v>
      </c>
      <c r="I324" s="2">
        <f t="shared" si="16"/>
        <v>46113</v>
      </c>
      <c r="J324" t="str">
        <f t="shared" si="17"/>
        <v>Apr 2026</v>
      </c>
    </row>
    <row r="325" spans="1:10" x14ac:dyDescent="0.3">
      <c r="A325" t="s">
        <v>636</v>
      </c>
      <c r="B325" t="s">
        <v>304</v>
      </c>
      <c r="C325" t="s">
        <v>28</v>
      </c>
      <c r="D325" s="5">
        <v>8</v>
      </c>
      <c r="E325" t="s">
        <v>91</v>
      </c>
      <c r="F325" t="s">
        <v>78</v>
      </c>
      <c r="G325" s="2">
        <f t="shared" si="15"/>
        <v>46081</v>
      </c>
      <c r="H325" cm="1">
        <f t="array" ref="H325">D325*_xlfn.XLOOKUP(C325,Clean_Inventry_Master!A:A,Clean_Inventry_Master!E:E,NOT FOUND,0)</f>
        <v>1440</v>
      </c>
      <c r="I325" s="2">
        <f t="shared" si="16"/>
        <v>46054</v>
      </c>
      <c r="J325" t="str">
        <f t="shared" si="17"/>
        <v>Feb 2026</v>
      </c>
    </row>
    <row r="326" spans="1:10" x14ac:dyDescent="0.3">
      <c r="A326" t="s">
        <v>637</v>
      </c>
      <c r="B326" t="s">
        <v>638</v>
      </c>
      <c r="C326" t="s">
        <v>35</v>
      </c>
      <c r="D326" s="5">
        <v>14</v>
      </c>
      <c r="E326" t="s">
        <v>1308</v>
      </c>
      <c r="F326" t="s">
        <v>92</v>
      </c>
      <c r="G326" s="2">
        <f t="shared" si="15"/>
        <v>46210</v>
      </c>
      <c r="H326" cm="1">
        <f t="array" ref="H326">D326*_xlfn.XLOOKUP(C326,Clean_Inventry_Master!A:A,Clean_Inventry_Master!E:E,NOT FOUND,0)</f>
        <v>139.86000000000001</v>
      </c>
      <c r="I326" s="2">
        <f t="shared" si="16"/>
        <v>46204</v>
      </c>
      <c r="J326" t="str">
        <f t="shared" si="17"/>
        <v>Jul 2026</v>
      </c>
    </row>
    <row r="327" spans="1:10" x14ac:dyDescent="0.3">
      <c r="A327" t="s">
        <v>639</v>
      </c>
      <c r="B327" t="s">
        <v>104</v>
      </c>
      <c r="C327" t="s">
        <v>43</v>
      </c>
      <c r="D327" s="5">
        <v>7</v>
      </c>
      <c r="E327" t="s">
        <v>91</v>
      </c>
      <c r="F327" t="s">
        <v>78</v>
      </c>
      <c r="G327" s="2">
        <f t="shared" si="15"/>
        <v>46275</v>
      </c>
      <c r="H327" cm="1">
        <f t="array" ref="H327">D327*_xlfn.XLOOKUP(C327,Clean_Inventry_Master!A:A,Clean_Inventry_Master!E:E,NOT FOUND,0)</f>
        <v>59.5</v>
      </c>
      <c r="I327" s="2">
        <f t="shared" si="16"/>
        <v>46266</v>
      </c>
      <c r="J327" t="str">
        <f t="shared" si="17"/>
        <v>Sep 2026</v>
      </c>
    </row>
    <row r="328" spans="1:10" x14ac:dyDescent="0.3">
      <c r="A328" t="s">
        <v>640</v>
      </c>
      <c r="B328" t="s">
        <v>641</v>
      </c>
      <c r="C328" t="s">
        <v>33</v>
      </c>
      <c r="D328" s="5">
        <v>1</v>
      </c>
      <c r="E328" t="s">
        <v>77</v>
      </c>
      <c r="F328" t="s">
        <v>92</v>
      </c>
      <c r="G328" s="2">
        <f t="shared" si="15"/>
        <v>46247</v>
      </c>
      <c r="H328" cm="1">
        <f t="array" ref="H328">D328*_xlfn.XLOOKUP(C328,Clean_Inventry_Master!A:A,Clean_Inventry_Master!E:E,NOT FOUND,0)</f>
        <v>24</v>
      </c>
      <c r="I328" s="2">
        <f t="shared" si="16"/>
        <v>46235</v>
      </c>
      <c r="J328" t="str">
        <f t="shared" si="17"/>
        <v>Aug 2026</v>
      </c>
    </row>
    <row r="329" spans="1:10" x14ac:dyDescent="0.3">
      <c r="A329" t="s">
        <v>642</v>
      </c>
      <c r="B329" t="s">
        <v>564</v>
      </c>
      <c r="C329" t="s">
        <v>54</v>
      </c>
      <c r="D329" s="5">
        <v>11</v>
      </c>
      <c r="E329" t="s">
        <v>77</v>
      </c>
      <c r="F329" t="s">
        <v>78</v>
      </c>
      <c r="G329" s="2">
        <f t="shared" si="15"/>
        <v>46108</v>
      </c>
      <c r="H329" cm="1">
        <f t="array" ref="H329">D329*_xlfn.XLOOKUP(C329,Clean_Inventry_Master!A:A,Clean_Inventry_Master!E:E,NOT FOUND,0)</f>
        <v>3849.8900000000003</v>
      </c>
      <c r="I329" s="2">
        <f t="shared" si="16"/>
        <v>46082</v>
      </c>
      <c r="J329" t="str">
        <f t="shared" si="17"/>
        <v>Mar 2026</v>
      </c>
    </row>
    <row r="330" spans="1:10" x14ac:dyDescent="0.3">
      <c r="A330" t="s">
        <v>643</v>
      </c>
      <c r="B330" t="s">
        <v>553</v>
      </c>
      <c r="C330" t="s">
        <v>68</v>
      </c>
      <c r="D330" s="5">
        <v>6</v>
      </c>
      <c r="E330" t="s">
        <v>1308</v>
      </c>
      <c r="F330" t="s">
        <v>83</v>
      </c>
      <c r="G330" s="2">
        <f t="shared" si="15"/>
        <v>46245</v>
      </c>
      <c r="H330" cm="1">
        <f t="array" ref="H330">D330*_xlfn.XLOOKUP(C330,Clean_Inventry_Master!A:A,Clean_Inventry_Master!E:E,NOT FOUND,0)</f>
        <v>255</v>
      </c>
      <c r="I330" s="2">
        <f t="shared" si="16"/>
        <v>46235</v>
      </c>
      <c r="J330" t="str">
        <f t="shared" si="17"/>
        <v>Aug 2026</v>
      </c>
    </row>
    <row r="331" spans="1:10" x14ac:dyDescent="0.3">
      <c r="A331" t="s">
        <v>644</v>
      </c>
      <c r="B331" t="s">
        <v>155</v>
      </c>
      <c r="C331" t="s">
        <v>54</v>
      </c>
      <c r="D331" s="5">
        <v>7</v>
      </c>
      <c r="E331" t="s">
        <v>77</v>
      </c>
      <c r="F331" t="s">
        <v>92</v>
      </c>
      <c r="G331" s="2">
        <f t="shared" si="15"/>
        <v>46039</v>
      </c>
      <c r="H331" cm="1">
        <f t="array" ref="H331">D331*_xlfn.XLOOKUP(C331,Clean_Inventry_Master!A:A,Clean_Inventry_Master!E:E,NOT FOUND,0)</f>
        <v>2449.9300000000003</v>
      </c>
      <c r="I331" s="2">
        <f t="shared" si="16"/>
        <v>46023</v>
      </c>
      <c r="J331" t="str">
        <f t="shared" si="17"/>
        <v>Jan 2026</v>
      </c>
    </row>
    <row r="332" spans="1:10" x14ac:dyDescent="0.3">
      <c r="A332" t="s">
        <v>645</v>
      </c>
      <c r="B332" t="s">
        <v>386</v>
      </c>
      <c r="C332" t="s">
        <v>10</v>
      </c>
      <c r="D332" s="5">
        <v>1</v>
      </c>
      <c r="E332" t="s">
        <v>1308</v>
      </c>
      <c r="F332" t="s">
        <v>78</v>
      </c>
      <c r="G332" s="2">
        <f t="shared" si="15"/>
        <v>46149</v>
      </c>
      <c r="H332" cm="1">
        <f t="array" ref="H332">D332*_xlfn.XLOOKUP(C332,Clean_Inventry_Master!A:A,Clean_Inventry_Master!E:E,NOT FOUND,0)</f>
        <v>499</v>
      </c>
      <c r="I332" s="2">
        <f t="shared" si="16"/>
        <v>46143</v>
      </c>
      <c r="J332" t="str">
        <f t="shared" si="17"/>
        <v>May 2026</v>
      </c>
    </row>
    <row r="333" spans="1:10" x14ac:dyDescent="0.3">
      <c r="A333" t="s">
        <v>646</v>
      </c>
      <c r="B333" t="s">
        <v>647</v>
      </c>
      <c r="C333" t="s">
        <v>64</v>
      </c>
      <c r="D333" s="5">
        <v>13</v>
      </c>
      <c r="E333" t="s">
        <v>1308</v>
      </c>
      <c r="F333" t="s">
        <v>78</v>
      </c>
      <c r="G333" s="2">
        <f t="shared" si="15"/>
        <v>46267</v>
      </c>
      <c r="H333" cm="1">
        <f t="array" ref="H333">D333*_xlfn.XLOOKUP(C333,Clean_Inventry_Master!A:A,Clean_Inventry_Master!E:E,NOT FOUND,0)</f>
        <v>259.87</v>
      </c>
      <c r="I333" s="2">
        <f t="shared" si="16"/>
        <v>46266</v>
      </c>
      <c r="J333" t="str">
        <f t="shared" si="17"/>
        <v>Sep 2026</v>
      </c>
    </row>
    <row r="334" spans="1:10" x14ac:dyDescent="0.3">
      <c r="A334" t="s">
        <v>648</v>
      </c>
      <c r="B334" t="s">
        <v>257</v>
      </c>
      <c r="C334" t="s">
        <v>43</v>
      </c>
      <c r="D334" s="5">
        <v>7</v>
      </c>
      <c r="E334" t="s">
        <v>91</v>
      </c>
      <c r="F334" t="s">
        <v>92</v>
      </c>
      <c r="G334" s="2">
        <f t="shared" si="15"/>
        <v>46176</v>
      </c>
      <c r="H334" cm="1">
        <f t="array" ref="H334">D334*_xlfn.XLOOKUP(C334,Clean_Inventry_Master!A:A,Clean_Inventry_Master!E:E,NOT FOUND,0)</f>
        <v>59.5</v>
      </c>
      <c r="I334" s="2">
        <f t="shared" si="16"/>
        <v>46174</v>
      </c>
      <c r="J334" t="str">
        <f t="shared" si="17"/>
        <v>Jun 2026</v>
      </c>
    </row>
    <row r="335" spans="1:10" x14ac:dyDescent="0.3">
      <c r="A335" t="s">
        <v>649</v>
      </c>
      <c r="B335" t="s">
        <v>650</v>
      </c>
      <c r="C335" t="s">
        <v>68</v>
      </c>
      <c r="D335" s="5">
        <v>1</v>
      </c>
      <c r="E335" t="s">
        <v>1308</v>
      </c>
      <c r="F335" t="s">
        <v>92</v>
      </c>
      <c r="G335" s="2">
        <f t="shared" si="15"/>
        <v>46099</v>
      </c>
      <c r="H335" cm="1">
        <f t="array" ref="H335">D335*_xlfn.XLOOKUP(C335,Clean_Inventry_Master!A:A,Clean_Inventry_Master!E:E,NOT FOUND,0)</f>
        <v>42.5</v>
      </c>
      <c r="I335" s="2">
        <f t="shared" si="16"/>
        <v>46082</v>
      </c>
      <c r="J335" t="str">
        <f t="shared" si="17"/>
        <v>Mar 2026</v>
      </c>
    </row>
    <row r="336" spans="1:10" x14ac:dyDescent="0.3">
      <c r="A336" t="s">
        <v>651</v>
      </c>
      <c r="B336" t="s">
        <v>652</v>
      </c>
      <c r="C336" t="s">
        <v>24</v>
      </c>
      <c r="D336" s="5">
        <v>4</v>
      </c>
      <c r="E336" t="s">
        <v>91</v>
      </c>
      <c r="F336" t="s">
        <v>92</v>
      </c>
      <c r="G336" s="2">
        <f t="shared" si="15"/>
        <v>46301</v>
      </c>
      <c r="H336" cm="1">
        <f t="array" ref="H336">D336*_xlfn.XLOOKUP(C336,Clean_Inventry_Master!A:A,Clean_Inventry_Master!E:E,NOT FOUND,0)</f>
        <v>559.96</v>
      </c>
      <c r="I336" s="2">
        <f t="shared" si="16"/>
        <v>46296</v>
      </c>
      <c r="J336" t="str">
        <f t="shared" si="17"/>
        <v>Oct 2026</v>
      </c>
    </row>
    <row r="337" spans="1:10" x14ac:dyDescent="0.3">
      <c r="A337" t="s">
        <v>653</v>
      </c>
      <c r="B337" t="s">
        <v>338</v>
      </c>
      <c r="C337" t="s">
        <v>39</v>
      </c>
      <c r="D337" s="5">
        <v>9</v>
      </c>
      <c r="E337" t="s">
        <v>91</v>
      </c>
      <c r="F337" t="s">
        <v>78</v>
      </c>
      <c r="G337" s="2">
        <f t="shared" si="15"/>
        <v>46093</v>
      </c>
      <c r="H337" cm="1">
        <f t="array" ref="H337">D337*_xlfn.XLOOKUP(C337,Clean_Inventry_Master!A:A,Clean_Inventry_Master!E:E,NOT FOUND,0)</f>
        <v>197.91</v>
      </c>
      <c r="I337" s="2">
        <f t="shared" si="16"/>
        <v>46082</v>
      </c>
      <c r="J337" t="str">
        <f t="shared" si="17"/>
        <v>Mar 2026</v>
      </c>
    </row>
    <row r="338" spans="1:10" x14ac:dyDescent="0.3">
      <c r="A338" t="s">
        <v>654</v>
      </c>
      <c r="B338" t="s">
        <v>655</v>
      </c>
      <c r="C338" t="s">
        <v>41</v>
      </c>
      <c r="D338" s="5">
        <v>7</v>
      </c>
      <c r="E338" t="s">
        <v>91</v>
      </c>
      <c r="F338" t="s">
        <v>83</v>
      </c>
      <c r="G338" s="2">
        <f t="shared" si="15"/>
        <v>46034</v>
      </c>
      <c r="H338" cm="1">
        <f t="array" ref="H338">D338*_xlfn.XLOOKUP(C338,Clean_Inventry_Master!A:A,Clean_Inventry_Master!E:E,NOT FOUND,0)</f>
        <v>279.93</v>
      </c>
      <c r="I338" s="2">
        <f t="shared" si="16"/>
        <v>46023</v>
      </c>
      <c r="J338" t="str">
        <f t="shared" si="17"/>
        <v>Jan 2026</v>
      </c>
    </row>
    <row r="339" spans="1:10" x14ac:dyDescent="0.3">
      <c r="A339" t="s">
        <v>656</v>
      </c>
      <c r="B339" t="s">
        <v>469</v>
      </c>
      <c r="C339" t="s">
        <v>56</v>
      </c>
      <c r="D339" s="5">
        <v>3</v>
      </c>
      <c r="E339" t="s">
        <v>82</v>
      </c>
      <c r="F339" t="s">
        <v>83</v>
      </c>
      <c r="G339" s="2">
        <f t="shared" si="15"/>
        <v>46208</v>
      </c>
      <c r="H339" cm="1">
        <f t="array" ref="H339">D339*_xlfn.XLOOKUP(C339,Clean_Inventry_Master!A:A,Clean_Inventry_Master!E:E,NOT FOUND,0)</f>
        <v>89.97</v>
      </c>
      <c r="I339" s="2">
        <f t="shared" si="16"/>
        <v>46204</v>
      </c>
      <c r="J339" t="str">
        <f t="shared" si="17"/>
        <v>Jul 2026</v>
      </c>
    </row>
    <row r="340" spans="1:10" x14ac:dyDescent="0.3">
      <c r="A340" t="s">
        <v>657</v>
      </c>
      <c r="B340" t="s">
        <v>658</v>
      </c>
      <c r="C340" t="s">
        <v>66</v>
      </c>
      <c r="D340" s="5">
        <v>6</v>
      </c>
      <c r="E340" t="s">
        <v>91</v>
      </c>
      <c r="F340" t="s">
        <v>83</v>
      </c>
      <c r="G340" s="2">
        <f t="shared" si="15"/>
        <v>46147</v>
      </c>
      <c r="H340" cm="1">
        <f t="array" ref="H340">D340*_xlfn.XLOOKUP(C340,Clean_Inventry_Master!A:A,Clean_Inventry_Master!E:E,NOT FOUND,0)</f>
        <v>209.94</v>
      </c>
      <c r="I340" s="2">
        <f t="shared" si="16"/>
        <v>46143</v>
      </c>
      <c r="J340" t="str">
        <f t="shared" si="17"/>
        <v>May 2026</v>
      </c>
    </row>
    <row r="341" spans="1:10" x14ac:dyDescent="0.3">
      <c r="A341" t="s">
        <v>659</v>
      </c>
      <c r="B341" t="s">
        <v>660</v>
      </c>
      <c r="C341" t="s">
        <v>20</v>
      </c>
      <c r="D341" s="5">
        <v>3</v>
      </c>
      <c r="E341" t="s">
        <v>1308</v>
      </c>
      <c r="F341" t="s">
        <v>83</v>
      </c>
      <c r="G341" s="2">
        <f t="shared" si="15"/>
        <v>46107</v>
      </c>
      <c r="H341" cm="1">
        <f t="array" ref="H341">D341*_xlfn.XLOOKUP(C341,Clean_Inventry_Master!A:A,Clean_Inventry_Master!E:E,NOT FOUND,0)</f>
        <v>239.96999999999997</v>
      </c>
      <c r="I341" s="2">
        <f t="shared" si="16"/>
        <v>46082</v>
      </c>
      <c r="J341" t="str">
        <f t="shared" si="17"/>
        <v>Mar 2026</v>
      </c>
    </row>
    <row r="342" spans="1:10" x14ac:dyDescent="0.3">
      <c r="A342" t="s">
        <v>661</v>
      </c>
      <c r="B342" t="s">
        <v>562</v>
      </c>
      <c r="C342" t="s">
        <v>60</v>
      </c>
      <c r="D342" s="5">
        <v>7</v>
      </c>
      <c r="E342" t="s">
        <v>77</v>
      </c>
      <c r="F342" t="s">
        <v>78</v>
      </c>
      <c r="G342" s="2">
        <f t="shared" si="15"/>
        <v>46135</v>
      </c>
      <c r="H342" cm="1">
        <f t="array" ref="H342">D342*_xlfn.XLOOKUP(C342,Clean_Inventry_Master!A:A,Clean_Inventry_Master!E:E,NOT FOUND,0)</f>
        <v>629.92999999999995</v>
      </c>
      <c r="I342" s="2">
        <f t="shared" si="16"/>
        <v>46113</v>
      </c>
      <c r="J342" t="str">
        <f t="shared" si="17"/>
        <v>Apr 2026</v>
      </c>
    </row>
    <row r="343" spans="1:10" x14ac:dyDescent="0.3">
      <c r="A343" t="s">
        <v>662</v>
      </c>
      <c r="B343" t="s">
        <v>663</v>
      </c>
      <c r="C343" t="s">
        <v>39</v>
      </c>
      <c r="D343" s="5">
        <v>1</v>
      </c>
      <c r="E343" t="s">
        <v>1308</v>
      </c>
      <c r="F343" t="s">
        <v>92</v>
      </c>
      <c r="G343" s="2">
        <f t="shared" si="15"/>
        <v>46090</v>
      </c>
      <c r="H343" cm="1">
        <f t="array" ref="H343">D343*_xlfn.XLOOKUP(C343,Clean_Inventry_Master!A:A,Clean_Inventry_Master!E:E,NOT FOUND,0)</f>
        <v>21.99</v>
      </c>
      <c r="I343" s="2">
        <f t="shared" si="16"/>
        <v>46082</v>
      </c>
      <c r="J343" t="str">
        <f t="shared" si="17"/>
        <v>Mar 2026</v>
      </c>
    </row>
    <row r="344" spans="1:10" x14ac:dyDescent="0.3">
      <c r="A344" t="s">
        <v>664</v>
      </c>
      <c r="B344" t="s">
        <v>542</v>
      </c>
      <c r="C344" t="s">
        <v>47</v>
      </c>
      <c r="D344" s="5">
        <v>3</v>
      </c>
      <c r="E344" t="s">
        <v>1308</v>
      </c>
      <c r="F344" t="s">
        <v>78</v>
      </c>
      <c r="G344" s="2">
        <f t="shared" si="15"/>
        <v>46232</v>
      </c>
      <c r="H344" cm="1">
        <f t="array" ref="H344">D344*_xlfn.XLOOKUP(C344,Clean_Inventry_Master!A:A,Clean_Inventry_Master!E:E,NOT FOUND,0)</f>
        <v>389.97</v>
      </c>
      <c r="I344" s="2">
        <f t="shared" si="16"/>
        <v>46204</v>
      </c>
      <c r="J344" t="str">
        <f t="shared" si="17"/>
        <v>Jul 2026</v>
      </c>
    </row>
    <row r="345" spans="1:10" x14ac:dyDescent="0.3">
      <c r="A345" t="s">
        <v>665</v>
      </c>
      <c r="B345" t="s">
        <v>666</v>
      </c>
      <c r="C345" t="s">
        <v>47</v>
      </c>
      <c r="D345" s="5">
        <v>13</v>
      </c>
      <c r="E345" t="s">
        <v>1308</v>
      </c>
      <c r="F345" t="s">
        <v>83</v>
      </c>
      <c r="G345" s="2">
        <f t="shared" si="15"/>
        <v>46290</v>
      </c>
      <c r="H345" cm="1">
        <f t="array" ref="H345">D345*_xlfn.XLOOKUP(C345,Clean_Inventry_Master!A:A,Clean_Inventry_Master!E:E,NOT FOUND,0)</f>
        <v>1689.8700000000001</v>
      </c>
      <c r="I345" s="2">
        <f t="shared" si="16"/>
        <v>46266</v>
      </c>
      <c r="J345" t="str">
        <f t="shared" si="17"/>
        <v>Sep 2026</v>
      </c>
    </row>
    <row r="346" spans="1:10" x14ac:dyDescent="0.3">
      <c r="A346" t="s">
        <v>667</v>
      </c>
      <c r="B346" t="s">
        <v>668</v>
      </c>
      <c r="C346" t="s">
        <v>31</v>
      </c>
      <c r="D346" s="5">
        <v>10</v>
      </c>
      <c r="E346" t="s">
        <v>1308</v>
      </c>
      <c r="F346" t="s">
        <v>78</v>
      </c>
      <c r="G346" s="2">
        <f t="shared" si="15"/>
        <v>46219</v>
      </c>
      <c r="H346" cm="1">
        <f t="array" ref="H346">D346*_xlfn.XLOOKUP(C346,Clean_Inventry_Master!A:A,Clean_Inventry_Master!E:E,NOT FOUND,0)</f>
        <v>150</v>
      </c>
      <c r="I346" s="2">
        <f t="shared" si="16"/>
        <v>46204</v>
      </c>
      <c r="J346" t="str">
        <f t="shared" si="17"/>
        <v>Jul 2026</v>
      </c>
    </row>
    <row r="347" spans="1:10" x14ac:dyDescent="0.3">
      <c r="A347" t="s">
        <v>669</v>
      </c>
      <c r="B347" t="s">
        <v>572</v>
      </c>
      <c r="C347" t="s">
        <v>60</v>
      </c>
      <c r="D347" s="5">
        <v>12</v>
      </c>
      <c r="E347" t="s">
        <v>1308</v>
      </c>
      <c r="F347" t="s">
        <v>78</v>
      </c>
      <c r="G347" s="2">
        <f t="shared" si="15"/>
        <v>46051</v>
      </c>
      <c r="H347" cm="1">
        <f t="array" ref="H347">D347*_xlfn.XLOOKUP(C347,Clean_Inventry_Master!A:A,Clean_Inventry_Master!E:E,NOT FOUND,0)</f>
        <v>1079.8799999999999</v>
      </c>
      <c r="I347" s="2">
        <f t="shared" si="16"/>
        <v>46023</v>
      </c>
      <c r="J347" t="str">
        <f t="shared" si="17"/>
        <v>Jan 2026</v>
      </c>
    </row>
    <row r="348" spans="1:10" x14ac:dyDescent="0.3">
      <c r="A348" t="s">
        <v>670</v>
      </c>
      <c r="B348" t="s">
        <v>574</v>
      </c>
      <c r="C348" t="s">
        <v>64</v>
      </c>
      <c r="D348" s="5">
        <v>11</v>
      </c>
      <c r="E348" t="s">
        <v>82</v>
      </c>
      <c r="F348" t="s">
        <v>78</v>
      </c>
      <c r="G348" s="2">
        <f t="shared" si="15"/>
        <v>46190</v>
      </c>
      <c r="H348" cm="1">
        <f t="array" ref="H348">D348*_xlfn.XLOOKUP(C348,Clean_Inventry_Master!A:A,Clean_Inventry_Master!E:E,NOT FOUND,0)</f>
        <v>219.89</v>
      </c>
      <c r="I348" s="2">
        <f t="shared" si="16"/>
        <v>46174</v>
      </c>
      <c r="J348" t="str">
        <f t="shared" si="17"/>
        <v>Jun 2026</v>
      </c>
    </row>
    <row r="349" spans="1:10" x14ac:dyDescent="0.3">
      <c r="A349" t="s">
        <v>671</v>
      </c>
      <c r="B349" t="s">
        <v>189</v>
      </c>
      <c r="C349" t="s">
        <v>62</v>
      </c>
      <c r="D349" s="5">
        <v>12</v>
      </c>
      <c r="E349" t="s">
        <v>91</v>
      </c>
      <c r="F349" t="s">
        <v>78</v>
      </c>
      <c r="G349" s="2">
        <f t="shared" si="15"/>
        <v>46302</v>
      </c>
      <c r="H349" cm="1">
        <f t="array" ref="H349">D349*_xlfn.XLOOKUP(C349,Clean_Inventry_Master!A:A,Clean_Inventry_Master!E:E,NOT FOUND,0)</f>
        <v>330</v>
      </c>
      <c r="I349" s="2">
        <f t="shared" si="16"/>
        <v>46296</v>
      </c>
      <c r="J349" t="str">
        <f t="shared" si="17"/>
        <v>Oct 2026</v>
      </c>
    </row>
    <row r="350" spans="1:10" x14ac:dyDescent="0.3">
      <c r="A350" t="s">
        <v>672</v>
      </c>
      <c r="B350" t="s">
        <v>229</v>
      </c>
      <c r="C350" t="s">
        <v>56</v>
      </c>
      <c r="D350" s="5">
        <v>6</v>
      </c>
      <c r="E350" t="s">
        <v>91</v>
      </c>
      <c r="F350" t="s">
        <v>92</v>
      </c>
      <c r="G350" s="2">
        <f t="shared" si="15"/>
        <v>46269</v>
      </c>
      <c r="H350" cm="1">
        <f t="array" ref="H350">D350*_xlfn.XLOOKUP(C350,Clean_Inventry_Master!A:A,Clean_Inventry_Master!E:E,NOT FOUND,0)</f>
        <v>179.94</v>
      </c>
      <c r="I350" s="2">
        <f t="shared" si="16"/>
        <v>46266</v>
      </c>
      <c r="J350" t="str">
        <f t="shared" si="17"/>
        <v>Sep 2026</v>
      </c>
    </row>
    <row r="351" spans="1:10" x14ac:dyDescent="0.3">
      <c r="A351" t="s">
        <v>673</v>
      </c>
      <c r="B351" t="s">
        <v>674</v>
      </c>
      <c r="C351" t="s">
        <v>16</v>
      </c>
      <c r="D351" s="5">
        <v>12</v>
      </c>
      <c r="E351" t="s">
        <v>82</v>
      </c>
      <c r="F351" t="s">
        <v>92</v>
      </c>
      <c r="G351" s="2">
        <f t="shared" si="15"/>
        <v>46188</v>
      </c>
      <c r="H351" cm="1">
        <f t="array" ref="H351">D351*_xlfn.XLOOKUP(C351,Clean_Inventry_Master!A:A,Clean_Inventry_Master!E:E,NOT FOUND,0)</f>
        <v>2748</v>
      </c>
      <c r="I351" s="2">
        <f t="shared" si="16"/>
        <v>46174</v>
      </c>
      <c r="J351" t="str">
        <f t="shared" si="17"/>
        <v>Jun 2026</v>
      </c>
    </row>
    <row r="352" spans="1:10" x14ac:dyDescent="0.3">
      <c r="A352" t="s">
        <v>675</v>
      </c>
      <c r="B352" t="s">
        <v>676</v>
      </c>
      <c r="C352" t="s">
        <v>31</v>
      </c>
      <c r="D352" s="5">
        <v>3</v>
      </c>
      <c r="E352" t="s">
        <v>82</v>
      </c>
      <c r="F352" t="s">
        <v>78</v>
      </c>
      <c r="G352" s="2">
        <f t="shared" si="15"/>
        <v>46201</v>
      </c>
      <c r="H352" cm="1">
        <f t="array" ref="H352">D352*_xlfn.XLOOKUP(C352,Clean_Inventry_Master!A:A,Clean_Inventry_Master!E:E,NOT FOUND,0)</f>
        <v>45</v>
      </c>
      <c r="I352" s="2">
        <f t="shared" si="16"/>
        <v>46174</v>
      </c>
      <c r="J352" t="str">
        <f t="shared" si="17"/>
        <v>Jun 2026</v>
      </c>
    </row>
    <row r="353" spans="1:10" x14ac:dyDescent="0.3">
      <c r="A353" t="s">
        <v>677</v>
      </c>
      <c r="B353" t="s">
        <v>678</v>
      </c>
      <c r="C353" t="s">
        <v>10</v>
      </c>
      <c r="D353" s="5">
        <v>14</v>
      </c>
      <c r="E353" t="s">
        <v>77</v>
      </c>
      <c r="F353" t="s">
        <v>92</v>
      </c>
      <c r="G353" s="2">
        <f t="shared" si="15"/>
        <v>46057</v>
      </c>
      <c r="H353" cm="1">
        <f t="array" ref="H353">D353*_xlfn.XLOOKUP(C353,Clean_Inventry_Master!A:A,Clean_Inventry_Master!E:E,NOT FOUND,0)</f>
        <v>6986</v>
      </c>
      <c r="I353" s="2">
        <f t="shared" si="16"/>
        <v>46054</v>
      </c>
      <c r="J353" t="str">
        <f t="shared" si="17"/>
        <v>Feb 2026</v>
      </c>
    </row>
    <row r="354" spans="1:10" x14ac:dyDescent="0.3">
      <c r="A354" t="s">
        <v>679</v>
      </c>
      <c r="B354" t="s">
        <v>680</v>
      </c>
      <c r="C354" t="s">
        <v>16</v>
      </c>
      <c r="D354" s="5">
        <v>7</v>
      </c>
      <c r="E354" t="s">
        <v>91</v>
      </c>
      <c r="F354" t="s">
        <v>78</v>
      </c>
      <c r="G354" s="2">
        <f t="shared" si="15"/>
        <v>46067</v>
      </c>
      <c r="H354" cm="1">
        <f t="array" ref="H354">D354*_xlfn.XLOOKUP(C354,Clean_Inventry_Master!A:A,Clean_Inventry_Master!E:E,NOT FOUND,0)</f>
        <v>1603</v>
      </c>
      <c r="I354" s="2">
        <f t="shared" si="16"/>
        <v>46054</v>
      </c>
      <c r="J354" t="str">
        <f t="shared" si="17"/>
        <v>Feb 2026</v>
      </c>
    </row>
    <row r="355" spans="1:10" x14ac:dyDescent="0.3">
      <c r="A355" t="s">
        <v>681</v>
      </c>
      <c r="B355" t="s">
        <v>682</v>
      </c>
      <c r="C355" t="s">
        <v>12</v>
      </c>
      <c r="D355" s="5">
        <v>13</v>
      </c>
      <c r="E355" t="s">
        <v>77</v>
      </c>
      <c r="F355" t="s">
        <v>92</v>
      </c>
      <c r="G355" s="2">
        <f t="shared" si="15"/>
        <v>46062</v>
      </c>
      <c r="H355" cm="1">
        <f t="array" ref="H355">D355*_xlfn.XLOOKUP(C355,Clean_Inventry_Master!A:A,Clean_Inventry_Master!E:E,NOT FOUND,0)</f>
        <v>1235</v>
      </c>
      <c r="I355" s="2">
        <f t="shared" si="16"/>
        <v>46054</v>
      </c>
      <c r="J355" t="str">
        <f t="shared" si="17"/>
        <v>Feb 2026</v>
      </c>
    </row>
    <row r="356" spans="1:10" x14ac:dyDescent="0.3">
      <c r="A356" t="s">
        <v>684</v>
      </c>
      <c r="B356" t="s">
        <v>216</v>
      </c>
      <c r="C356" t="s">
        <v>68</v>
      </c>
      <c r="D356" s="5">
        <v>13</v>
      </c>
      <c r="E356" t="s">
        <v>91</v>
      </c>
      <c r="F356" t="s">
        <v>92</v>
      </c>
      <c r="G356" s="2">
        <f t="shared" si="15"/>
        <v>46222</v>
      </c>
      <c r="H356" cm="1">
        <f t="array" ref="H356">D356*_xlfn.XLOOKUP(C356,Clean_Inventry_Master!A:A,Clean_Inventry_Master!E:E,NOT FOUND,0)</f>
        <v>552.5</v>
      </c>
      <c r="I356" s="2">
        <f t="shared" si="16"/>
        <v>46204</v>
      </c>
      <c r="J356" t="str">
        <f t="shared" si="17"/>
        <v>Jul 2026</v>
      </c>
    </row>
    <row r="357" spans="1:10" x14ac:dyDescent="0.3">
      <c r="A357" t="s">
        <v>685</v>
      </c>
      <c r="B357" t="s">
        <v>686</v>
      </c>
      <c r="C357" t="s">
        <v>24</v>
      </c>
      <c r="D357" s="5">
        <v>9</v>
      </c>
      <c r="E357" t="s">
        <v>77</v>
      </c>
      <c r="F357" t="s">
        <v>78</v>
      </c>
      <c r="G357" s="2">
        <f t="shared" si="15"/>
        <v>46073</v>
      </c>
      <c r="H357" cm="1">
        <f t="array" ref="H357">D357*_xlfn.XLOOKUP(C357,Clean_Inventry_Master!A:A,Clean_Inventry_Master!E:E,NOT FOUND,0)</f>
        <v>1259.9100000000001</v>
      </c>
      <c r="I357" s="2">
        <f t="shared" si="16"/>
        <v>46054</v>
      </c>
      <c r="J357" t="str">
        <f t="shared" si="17"/>
        <v>Feb 2026</v>
      </c>
    </row>
    <row r="358" spans="1:10" x14ac:dyDescent="0.3">
      <c r="A358" t="s">
        <v>687</v>
      </c>
      <c r="B358" t="s">
        <v>647</v>
      </c>
      <c r="C358" t="s">
        <v>52</v>
      </c>
      <c r="D358" s="5">
        <v>14</v>
      </c>
      <c r="E358" t="s">
        <v>91</v>
      </c>
      <c r="F358" t="s">
        <v>92</v>
      </c>
      <c r="G358" s="2">
        <f t="shared" si="15"/>
        <v>46267</v>
      </c>
      <c r="H358" cm="1">
        <f t="array" ref="H358">D358*_xlfn.XLOOKUP(C358,Clean_Inventry_Master!A:A,Clean_Inventry_Master!E:E,NOT FOUND,0)</f>
        <v>419.85999999999996</v>
      </c>
      <c r="I358" s="2">
        <f t="shared" si="16"/>
        <v>46266</v>
      </c>
      <c r="J358" t="str">
        <f t="shared" si="17"/>
        <v>Sep 2026</v>
      </c>
    </row>
    <row r="359" spans="1:10" x14ac:dyDescent="0.3">
      <c r="A359" t="s">
        <v>688</v>
      </c>
      <c r="B359" t="s">
        <v>610</v>
      </c>
      <c r="C359" t="s">
        <v>7</v>
      </c>
      <c r="D359" s="5">
        <v>11</v>
      </c>
      <c r="E359" t="s">
        <v>91</v>
      </c>
      <c r="F359" t="s">
        <v>83</v>
      </c>
      <c r="G359" s="2">
        <f t="shared" si="15"/>
        <v>46293</v>
      </c>
      <c r="H359" cm="1">
        <f t="array" ref="H359">D359*_xlfn.XLOOKUP(C359,Clean_Inventry_Master!A:A,Clean_Inventry_Master!E:E,NOT FOUND,0)</f>
        <v>495</v>
      </c>
      <c r="I359" s="2">
        <f t="shared" si="16"/>
        <v>46266</v>
      </c>
      <c r="J359" t="str">
        <f t="shared" si="17"/>
        <v>Sep 2026</v>
      </c>
    </row>
    <row r="360" spans="1:10" x14ac:dyDescent="0.3">
      <c r="A360" t="s">
        <v>689</v>
      </c>
      <c r="B360" t="s">
        <v>173</v>
      </c>
      <c r="C360" t="s">
        <v>68</v>
      </c>
      <c r="D360" s="5">
        <v>9</v>
      </c>
      <c r="E360" t="s">
        <v>91</v>
      </c>
      <c r="F360" t="s">
        <v>83</v>
      </c>
      <c r="G360" s="2">
        <f t="shared" si="15"/>
        <v>46130</v>
      </c>
      <c r="H360" cm="1">
        <f t="array" ref="H360">D360*_xlfn.XLOOKUP(C360,Clean_Inventry_Master!A:A,Clean_Inventry_Master!E:E,NOT FOUND,0)</f>
        <v>382.5</v>
      </c>
      <c r="I360" s="2">
        <f t="shared" si="16"/>
        <v>46113</v>
      </c>
      <c r="J360" t="str">
        <f t="shared" si="17"/>
        <v>Apr 2026</v>
      </c>
    </row>
    <row r="361" spans="1:10" x14ac:dyDescent="0.3">
      <c r="A361" t="s">
        <v>690</v>
      </c>
      <c r="B361" t="s">
        <v>326</v>
      </c>
      <c r="C361" t="s">
        <v>28</v>
      </c>
      <c r="D361" s="5">
        <v>2</v>
      </c>
      <c r="E361" t="s">
        <v>82</v>
      </c>
      <c r="F361" t="s">
        <v>92</v>
      </c>
      <c r="G361" s="2">
        <f t="shared" si="15"/>
        <v>46087</v>
      </c>
      <c r="H361" cm="1">
        <f t="array" ref="H361">D361*_xlfn.XLOOKUP(C361,Clean_Inventry_Master!A:A,Clean_Inventry_Master!E:E,NOT FOUND,0)</f>
        <v>360</v>
      </c>
      <c r="I361" s="2">
        <f t="shared" si="16"/>
        <v>46082</v>
      </c>
      <c r="J361" t="str">
        <f t="shared" si="17"/>
        <v>Mar 2026</v>
      </c>
    </row>
    <row r="362" spans="1:10" x14ac:dyDescent="0.3">
      <c r="A362" t="s">
        <v>691</v>
      </c>
      <c r="B362" t="s">
        <v>396</v>
      </c>
      <c r="C362" t="s">
        <v>31</v>
      </c>
      <c r="D362" s="5">
        <v>7</v>
      </c>
      <c r="E362" t="s">
        <v>91</v>
      </c>
      <c r="F362" t="s">
        <v>83</v>
      </c>
      <c r="G362" s="2">
        <f t="shared" si="15"/>
        <v>46111</v>
      </c>
      <c r="H362" cm="1">
        <f t="array" ref="H362">D362*_xlfn.XLOOKUP(C362,Clean_Inventry_Master!A:A,Clean_Inventry_Master!E:E,NOT FOUND,0)</f>
        <v>105</v>
      </c>
      <c r="I362" s="2">
        <f t="shared" si="16"/>
        <v>46082</v>
      </c>
      <c r="J362" t="str">
        <f t="shared" si="17"/>
        <v>Mar 2026</v>
      </c>
    </row>
    <row r="363" spans="1:10" x14ac:dyDescent="0.3">
      <c r="A363" t="s">
        <v>692</v>
      </c>
      <c r="B363" t="s">
        <v>693</v>
      </c>
      <c r="C363" t="s">
        <v>66</v>
      </c>
      <c r="D363" s="5">
        <v>2</v>
      </c>
      <c r="E363" t="s">
        <v>1308</v>
      </c>
      <c r="F363" t="s">
        <v>78</v>
      </c>
      <c r="G363" s="2">
        <f t="shared" si="15"/>
        <v>46162</v>
      </c>
      <c r="H363" cm="1">
        <f t="array" ref="H363">D363*_xlfn.XLOOKUP(C363,Clean_Inventry_Master!A:A,Clean_Inventry_Master!E:E,NOT FOUND,0)</f>
        <v>69.98</v>
      </c>
      <c r="I363" s="2">
        <f t="shared" si="16"/>
        <v>46143</v>
      </c>
      <c r="J363" t="str">
        <f t="shared" si="17"/>
        <v>May 2026</v>
      </c>
    </row>
    <row r="364" spans="1:10" x14ac:dyDescent="0.3">
      <c r="A364" t="s">
        <v>694</v>
      </c>
      <c r="B364" t="s">
        <v>695</v>
      </c>
      <c r="C364" t="s">
        <v>24</v>
      </c>
      <c r="D364" s="5">
        <v>2</v>
      </c>
      <c r="E364" t="s">
        <v>77</v>
      </c>
      <c r="F364" t="s">
        <v>83</v>
      </c>
      <c r="G364" s="2">
        <f t="shared" si="15"/>
        <v>46050</v>
      </c>
      <c r="H364" cm="1">
        <f t="array" ref="H364">D364*_xlfn.XLOOKUP(C364,Clean_Inventry_Master!A:A,Clean_Inventry_Master!E:E,NOT FOUND,0)</f>
        <v>279.98</v>
      </c>
      <c r="I364" s="2">
        <f t="shared" si="16"/>
        <v>46023</v>
      </c>
      <c r="J364" t="str">
        <f t="shared" si="17"/>
        <v>Jan 2026</v>
      </c>
    </row>
    <row r="365" spans="1:10" x14ac:dyDescent="0.3">
      <c r="A365" t="s">
        <v>696</v>
      </c>
      <c r="B365" t="s">
        <v>697</v>
      </c>
      <c r="C365" t="s">
        <v>20</v>
      </c>
      <c r="D365" s="5">
        <v>12</v>
      </c>
      <c r="E365" t="s">
        <v>91</v>
      </c>
      <c r="F365" t="s">
        <v>92</v>
      </c>
      <c r="G365" s="2">
        <f t="shared" si="15"/>
        <v>46112</v>
      </c>
      <c r="H365" cm="1">
        <f t="array" ref="H365">D365*_xlfn.XLOOKUP(C365,Clean_Inventry_Master!A:A,Clean_Inventry_Master!E:E,NOT FOUND,0)</f>
        <v>959.87999999999988</v>
      </c>
      <c r="I365" s="2">
        <f t="shared" si="16"/>
        <v>46082</v>
      </c>
      <c r="J365" t="str">
        <f t="shared" si="17"/>
        <v>Mar 2026</v>
      </c>
    </row>
    <row r="366" spans="1:10" x14ac:dyDescent="0.3">
      <c r="A366" t="s">
        <v>698</v>
      </c>
      <c r="B366" t="s">
        <v>699</v>
      </c>
      <c r="C366" t="s">
        <v>62</v>
      </c>
      <c r="D366" s="5">
        <v>4</v>
      </c>
      <c r="E366" t="s">
        <v>82</v>
      </c>
      <c r="F366" t="s">
        <v>78</v>
      </c>
      <c r="G366" s="2">
        <f t="shared" si="15"/>
        <v>46247</v>
      </c>
      <c r="H366" cm="1">
        <f t="array" ref="H366">D366*_xlfn.XLOOKUP(C366,Clean_Inventry_Master!A:A,Clean_Inventry_Master!E:E,NOT FOUND,0)</f>
        <v>110</v>
      </c>
      <c r="I366" s="2">
        <f t="shared" si="16"/>
        <v>46235</v>
      </c>
      <c r="J366" t="str">
        <f t="shared" si="17"/>
        <v>Aug 2026</v>
      </c>
    </row>
    <row r="367" spans="1:10" x14ac:dyDescent="0.3">
      <c r="A367" t="s">
        <v>700</v>
      </c>
      <c r="B367" t="s">
        <v>701</v>
      </c>
      <c r="C367" t="s">
        <v>49</v>
      </c>
      <c r="D367" s="5">
        <v>5</v>
      </c>
      <c r="E367" t="s">
        <v>77</v>
      </c>
      <c r="F367" t="s">
        <v>78</v>
      </c>
      <c r="G367" s="2">
        <f t="shared" si="15"/>
        <v>46089</v>
      </c>
      <c r="H367" cm="1">
        <f t="array" ref="H367">D367*_xlfn.XLOOKUP(C367,Clean_Inventry_Master!A:A,Clean_Inventry_Master!E:E,NOT FOUND,0)</f>
        <v>249.95000000000002</v>
      </c>
      <c r="I367" s="2">
        <f t="shared" si="16"/>
        <v>46082</v>
      </c>
      <c r="J367" t="str">
        <f t="shared" si="17"/>
        <v>Mar 2026</v>
      </c>
    </row>
    <row r="368" spans="1:10" x14ac:dyDescent="0.3">
      <c r="A368" t="s">
        <v>702</v>
      </c>
      <c r="B368" t="s">
        <v>304</v>
      </c>
      <c r="C368" t="s">
        <v>41</v>
      </c>
      <c r="D368" s="5">
        <v>1</v>
      </c>
      <c r="E368" t="s">
        <v>1308</v>
      </c>
      <c r="F368" t="s">
        <v>92</v>
      </c>
      <c r="G368" s="2">
        <f t="shared" si="15"/>
        <v>46081</v>
      </c>
      <c r="H368" cm="1">
        <f t="array" ref="H368">D368*_xlfn.XLOOKUP(C368,Clean_Inventry_Master!A:A,Clean_Inventry_Master!E:E,NOT FOUND,0)</f>
        <v>39.99</v>
      </c>
      <c r="I368" s="2">
        <f t="shared" si="16"/>
        <v>46054</v>
      </c>
      <c r="J368" t="str">
        <f t="shared" si="17"/>
        <v>Feb 2026</v>
      </c>
    </row>
    <row r="369" spans="1:10" x14ac:dyDescent="0.3">
      <c r="A369" t="s">
        <v>703</v>
      </c>
      <c r="B369" t="s">
        <v>364</v>
      </c>
      <c r="C369" t="s">
        <v>66</v>
      </c>
      <c r="D369" s="5">
        <v>8</v>
      </c>
      <c r="E369" t="s">
        <v>82</v>
      </c>
      <c r="F369" t="s">
        <v>78</v>
      </c>
      <c r="G369" s="2">
        <f t="shared" si="15"/>
        <v>46243</v>
      </c>
      <c r="H369" cm="1">
        <f t="array" ref="H369">D369*_xlfn.XLOOKUP(C369,Clean_Inventry_Master!A:A,Clean_Inventry_Master!E:E,NOT FOUND,0)</f>
        <v>279.92</v>
      </c>
      <c r="I369" s="2">
        <f t="shared" si="16"/>
        <v>46235</v>
      </c>
      <c r="J369" t="str">
        <f t="shared" si="17"/>
        <v>Aug 2026</v>
      </c>
    </row>
    <row r="370" spans="1:10" x14ac:dyDescent="0.3">
      <c r="A370" t="s">
        <v>704</v>
      </c>
      <c r="B370" t="s">
        <v>328</v>
      </c>
      <c r="C370" t="s">
        <v>12</v>
      </c>
      <c r="D370" s="5">
        <v>2</v>
      </c>
      <c r="E370" t="s">
        <v>1308</v>
      </c>
      <c r="F370" t="s">
        <v>92</v>
      </c>
      <c r="G370" s="2">
        <f t="shared" si="15"/>
        <v>46076</v>
      </c>
      <c r="H370" cm="1">
        <f t="array" ref="H370">D370*_xlfn.XLOOKUP(C370,Clean_Inventry_Master!A:A,Clean_Inventry_Master!E:E,NOT FOUND,0)</f>
        <v>190</v>
      </c>
      <c r="I370" s="2">
        <f t="shared" si="16"/>
        <v>46054</v>
      </c>
      <c r="J370" t="str">
        <f t="shared" si="17"/>
        <v>Feb 2026</v>
      </c>
    </row>
    <row r="371" spans="1:10" x14ac:dyDescent="0.3">
      <c r="A371" t="s">
        <v>705</v>
      </c>
      <c r="B371" t="s">
        <v>234</v>
      </c>
      <c r="C371" t="s">
        <v>60</v>
      </c>
      <c r="D371" s="5">
        <v>13</v>
      </c>
      <c r="E371" t="s">
        <v>82</v>
      </c>
      <c r="F371" t="s">
        <v>78</v>
      </c>
      <c r="G371" s="2">
        <f t="shared" si="15"/>
        <v>46054</v>
      </c>
      <c r="H371" cm="1">
        <f t="array" ref="H371">D371*_xlfn.XLOOKUP(C371,Clean_Inventry_Master!A:A,Clean_Inventry_Master!E:E,NOT FOUND,0)</f>
        <v>1169.8699999999999</v>
      </c>
      <c r="I371" s="2">
        <f t="shared" si="16"/>
        <v>46054</v>
      </c>
      <c r="J371" t="str">
        <f t="shared" si="17"/>
        <v>Feb 2026</v>
      </c>
    </row>
    <row r="372" spans="1:10" x14ac:dyDescent="0.3">
      <c r="A372" t="s">
        <v>707</v>
      </c>
      <c r="B372" t="s">
        <v>203</v>
      </c>
      <c r="C372" t="s">
        <v>49</v>
      </c>
      <c r="D372" s="5">
        <v>7</v>
      </c>
      <c r="E372" t="s">
        <v>82</v>
      </c>
      <c r="F372" t="s">
        <v>92</v>
      </c>
      <c r="G372" s="2">
        <f t="shared" si="15"/>
        <v>46136</v>
      </c>
      <c r="H372" cm="1">
        <f t="array" ref="H372">D372*_xlfn.XLOOKUP(C372,Clean_Inventry_Master!A:A,Clean_Inventry_Master!E:E,NOT FOUND,0)</f>
        <v>349.93</v>
      </c>
      <c r="I372" s="2">
        <f t="shared" si="16"/>
        <v>46113</v>
      </c>
      <c r="J372" t="str">
        <f t="shared" si="17"/>
        <v>Apr 2026</v>
      </c>
    </row>
    <row r="373" spans="1:10" x14ac:dyDescent="0.3">
      <c r="A373" t="s">
        <v>708</v>
      </c>
      <c r="B373" t="s">
        <v>227</v>
      </c>
      <c r="C373" t="s">
        <v>12</v>
      </c>
      <c r="D373" s="5">
        <v>13</v>
      </c>
      <c r="E373" t="s">
        <v>82</v>
      </c>
      <c r="F373" t="s">
        <v>92</v>
      </c>
      <c r="G373" s="2">
        <f t="shared" si="15"/>
        <v>46213</v>
      </c>
      <c r="H373" cm="1">
        <f t="array" ref="H373">D373*_xlfn.XLOOKUP(C373,Clean_Inventry_Master!A:A,Clean_Inventry_Master!E:E,NOT FOUND,0)</f>
        <v>1235</v>
      </c>
      <c r="I373" s="2">
        <f t="shared" si="16"/>
        <v>46204</v>
      </c>
      <c r="J373" t="str">
        <f t="shared" si="17"/>
        <v>Jul 2026</v>
      </c>
    </row>
    <row r="374" spans="1:10" x14ac:dyDescent="0.3">
      <c r="A374" t="s">
        <v>709</v>
      </c>
      <c r="B374" t="s">
        <v>379</v>
      </c>
      <c r="C374" t="s">
        <v>43</v>
      </c>
      <c r="D374" s="5">
        <v>3</v>
      </c>
      <c r="E374" t="s">
        <v>1308</v>
      </c>
      <c r="F374" t="s">
        <v>83</v>
      </c>
      <c r="G374" s="2">
        <f t="shared" si="15"/>
        <v>46035</v>
      </c>
      <c r="H374" cm="1">
        <f t="array" ref="H374">D374*_xlfn.XLOOKUP(C374,Clean_Inventry_Master!A:A,Clean_Inventry_Master!E:E,NOT FOUND,0)</f>
        <v>25.5</v>
      </c>
      <c r="I374" s="2">
        <f t="shared" si="16"/>
        <v>46023</v>
      </c>
      <c r="J374" t="str">
        <f t="shared" si="17"/>
        <v>Jan 2026</v>
      </c>
    </row>
    <row r="375" spans="1:10" x14ac:dyDescent="0.3">
      <c r="A375" t="s">
        <v>710</v>
      </c>
      <c r="B375" t="s">
        <v>682</v>
      </c>
      <c r="C375" t="s">
        <v>28</v>
      </c>
      <c r="D375" s="5">
        <v>7</v>
      </c>
      <c r="E375" t="s">
        <v>82</v>
      </c>
      <c r="F375" t="s">
        <v>83</v>
      </c>
      <c r="G375" s="2">
        <f t="shared" si="15"/>
        <v>46062</v>
      </c>
      <c r="H375" cm="1">
        <f t="array" ref="H375">D375*_xlfn.XLOOKUP(C375,Clean_Inventry_Master!A:A,Clean_Inventry_Master!E:E,NOT FOUND,0)</f>
        <v>1260</v>
      </c>
      <c r="I375" s="2">
        <f t="shared" si="16"/>
        <v>46054</v>
      </c>
      <c r="J375" t="str">
        <f t="shared" si="17"/>
        <v>Feb 2026</v>
      </c>
    </row>
    <row r="376" spans="1:10" x14ac:dyDescent="0.3">
      <c r="A376" t="s">
        <v>711</v>
      </c>
      <c r="B376" t="s">
        <v>141</v>
      </c>
      <c r="C376" t="s">
        <v>49</v>
      </c>
      <c r="D376" s="5">
        <v>7</v>
      </c>
      <c r="E376" t="s">
        <v>82</v>
      </c>
      <c r="F376" t="s">
        <v>78</v>
      </c>
      <c r="G376" s="2">
        <f t="shared" si="15"/>
        <v>46172</v>
      </c>
      <c r="H376" cm="1">
        <f t="array" ref="H376">D376*_xlfn.XLOOKUP(C376,Clean_Inventry_Master!A:A,Clean_Inventry_Master!E:E,NOT FOUND,0)</f>
        <v>349.93</v>
      </c>
      <c r="I376" s="2">
        <f t="shared" si="16"/>
        <v>46143</v>
      </c>
      <c r="J376" t="str">
        <f t="shared" si="17"/>
        <v>May 2026</v>
      </c>
    </row>
    <row r="377" spans="1:10" x14ac:dyDescent="0.3">
      <c r="A377" t="s">
        <v>712</v>
      </c>
      <c r="B377" t="s">
        <v>713</v>
      </c>
      <c r="C377" t="s">
        <v>49</v>
      </c>
      <c r="D377" s="5">
        <v>11</v>
      </c>
      <c r="E377" t="s">
        <v>1308</v>
      </c>
      <c r="F377" t="s">
        <v>78</v>
      </c>
      <c r="G377" s="2">
        <f t="shared" si="15"/>
        <v>46131</v>
      </c>
      <c r="H377" cm="1">
        <f t="array" ref="H377">D377*_xlfn.XLOOKUP(C377,Clean_Inventry_Master!A:A,Clean_Inventry_Master!E:E,NOT FOUND,0)</f>
        <v>549.89</v>
      </c>
      <c r="I377" s="2">
        <f t="shared" si="16"/>
        <v>46113</v>
      </c>
      <c r="J377" t="str">
        <f t="shared" si="17"/>
        <v>Apr 2026</v>
      </c>
    </row>
    <row r="378" spans="1:10" x14ac:dyDescent="0.3">
      <c r="A378" t="s">
        <v>714</v>
      </c>
      <c r="B378" t="s">
        <v>715</v>
      </c>
      <c r="C378" t="s">
        <v>39</v>
      </c>
      <c r="D378" s="5">
        <v>1</v>
      </c>
      <c r="E378" t="s">
        <v>1308</v>
      </c>
      <c r="F378" t="s">
        <v>92</v>
      </c>
      <c r="G378" s="2">
        <f t="shared" si="15"/>
        <v>46028</v>
      </c>
      <c r="H378" cm="1">
        <f t="array" ref="H378">D378*_xlfn.XLOOKUP(C378,Clean_Inventry_Master!A:A,Clean_Inventry_Master!E:E,NOT FOUND,0)</f>
        <v>21.99</v>
      </c>
      <c r="I378" s="2">
        <f t="shared" si="16"/>
        <v>46023</v>
      </c>
      <c r="J378" t="str">
        <f t="shared" si="17"/>
        <v>Jan 2026</v>
      </c>
    </row>
    <row r="379" spans="1:10" x14ac:dyDescent="0.3">
      <c r="A379" t="s">
        <v>716</v>
      </c>
      <c r="B379" t="s">
        <v>717</v>
      </c>
      <c r="C379" t="s">
        <v>41</v>
      </c>
      <c r="D379" s="5">
        <v>12</v>
      </c>
      <c r="E379" t="s">
        <v>82</v>
      </c>
      <c r="F379" t="s">
        <v>78</v>
      </c>
      <c r="G379" s="2">
        <f t="shared" si="15"/>
        <v>46032</v>
      </c>
      <c r="H379" cm="1">
        <f t="array" ref="H379">D379*_xlfn.XLOOKUP(C379,Clean_Inventry_Master!A:A,Clean_Inventry_Master!E:E,NOT FOUND,0)</f>
        <v>479.88</v>
      </c>
      <c r="I379" s="2">
        <f t="shared" si="16"/>
        <v>46023</v>
      </c>
      <c r="J379" t="str">
        <f t="shared" si="17"/>
        <v>Jan 2026</v>
      </c>
    </row>
    <row r="380" spans="1:10" x14ac:dyDescent="0.3">
      <c r="A380" t="s">
        <v>718</v>
      </c>
      <c r="B380" t="s">
        <v>481</v>
      </c>
      <c r="C380" t="s">
        <v>54</v>
      </c>
      <c r="D380" s="5">
        <v>12</v>
      </c>
      <c r="E380" t="s">
        <v>82</v>
      </c>
      <c r="F380" t="s">
        <v>78</v>
      </c>
      <c r="G380" s="2">
        <f t="shared" si="15"/>
        <v>46216</v>
      </c>
      <c r="H380" cm="1">
        <f t="array" ref="H380">D380*_xlfn.XLOOKUP(C380,Clean_Inventry_Master!A:A,Clean_Inventry_Master!E:E,NOT FOUND,0)</f>
        <v>4199.88</v>
      </c>
      <c r="I380" s="2">
        <f t="shared" si="16"/>
        <v>46204</v>
      </c>
      <c r="J380" t="str">
        <f t="shared" si="17"/>
        <v>Jul 2026</v>
      </c>
    </row>
    <row r="381" spans="1:10" x14ac:dyDescent="0.3">
      <c r="A381" t="s">
        <v>719</v>
      </c>
      <c r="B381" t="s">
        <v>720</v>
      </c>
      <c r="C381" t="s">
        <v>28</v>
      </c>
      <c r="D381" s="5">
        <v>7</v>
      </c>
      <c r="E381" t="s">
        <v>77</v>
      </c>
      <c r="F381" t="s">
        <v>78</v>
      </c>
      <c r="G381" s="2">
        <f t="shared" si="15"/>
        <v>46043</v>
      </c>
      <c r="H381" cm="1">
        <f t="array" ref="H381">D381*_xlfn.XLOOKUP(C381,Clean_Inventry_Master!A:A,Clean_Inventry_Master!E:E,NOT FOUND,0)</f>
        <v>1260</v>
      </c>
      <c r="I381" s="2">
        <f t="shared" si="16"/>
        <v>46023</v>
      </c>
      <c r="J381" t="str">
        <f t="shared" si="17"/>
        <v>Jan 2026</v>
      </c>
    </row>
    <row r="382" spans="1:10" x14ac:dyDescent="0.3">
      <c r="A382" t="s">
        <v>721</v>
      </c>
      <c r="B382" t="s">
        <v>544</v>
      </c>
      <c r="C382" t="s">
        <v>66</v>
      </c>
      <c r="D382" s="5">
        <v>14</v>
      </c>
      <c r="E382" t="s">
        <v>82</v>
      </c>
      <c r="F382" t="s">
        <v>92</v>
      </c>
      <c r="G382" s="2">
        <f t="shared" si="15"/>
        <v>46134</v>
      </c>
      <c r="H382" cm="1">
        <f t="array" ref="H382">D382*_xlfn.XLOOKUP(C382,Clean_Inventry_Master!A:A,Clean_Inventry_Master!E:E,NOT FOUND,0)</f>
        <v>489.86</v>
      </c>
      <c r="I382" s="2">
        <f t="shared" si="16"/>
        <v>46113</v>
      </c>
      <c r="J382" t="str">
        <f t="shared" si="17"/>
        <v>Apr 2026</v>
      </c>
    </row>
    <row r="383" spans="1:10" x14ac:dyDescent="0.3">
      <c r="A383" t="s">
        <v>722</v>
      </c>
      <c r="B383" t="s">
        <v>723</v>
      </c>
      <c r="C383" t="s">
        <v>49</v>
      </c>
      <c r="D383" s="5">
        <v>5</v>
      </c>
      <c r="E383" t="s">
        <v>91</v>
      </c>
      <c r="F383" t="s">
        <v>92</v>
      </c>
      <c r="G383" s="2">
        <f t="shared" si="15"/>
        <v>46193</v>
      </c>
      <c r="H383" cm="1">
        <f t="array" ref="H383">D383*_xlfn.XLOOKUP(C383,Clean_Inventry_Master!A:A,Clean_Inventry_Master!E:E,NOT FOUND,0)</f>
        <v>249.95000000000002</v>
      </c>
      <c r="I383" s="2">
        <f t="shared" si="16"/>
        <v>46174</v>
      </c>
      <c r="J383" t="str">
        <f t="shared" si="17"/>
        <v>Jun 2026</v>
      </c>
    </row>
    <row r="384" spans="1:10" x14ac:dyDescent="0.3">
      <c r="A384" t="s">
        <v>725</v>
      </c>
      <c r="B384" t="s">
        <v>225</v>
      </c>
      <c r="C384" t="s">
        <v>49</v>
      </c>
      <c r="D384" s="5">
        <v>3</v>
      </c>
      <c r="E384" t="s">
        <v>91</v>
      </c>
      <c r="F384" t="s">
        <v>92</v>
      </c>
      <c r="G384" s="2">
        <f t="shared" si="15"/>
        <v>46146</v>
      </c>
      <c r="H384" cm="1">
        <f t="array" ref="H384">D384*_xlfn.XLOOKUP(C384,Clean_Inventry_Master!A:A,Clean_Inventry_Master!E:E,NOT FOUND,0)</f>
        <v>149.97</v>
      </c>
      <c r="I384" s="2">
        <f t="shared" si="16"/>
        <v>46143</v>
      </c>
      <c r="J384" t="str">
        <f t="shared" si="17"/>
        <v>May 2026</v>
      </c>
    </row>
    <row r="385" spans="1:10" x14ac:dyDescent="0.3">
      <c r="A385" t="s">
        <v>726</v>
      </c>
      <c r="B385" t="s">
        <v>143</v>
      </c>
      <c r="C385" t="s">
        <v>47</v>
      </c>
      <c r="D385" s="5">
        <v>14</v>
      </c>
      <c r="E385" t="s">
        <v>1308</v>
      </c>
      <c r="F385" t="s">
        <v>78</v>
      </c>
      <c r="G385" s="2">
        <f t="shared" si="15"/>
        <v>46140</v>
      </c>
      <c r="H385" cm="1">
        <f t="array" ref="H385">D385*_xlfn.XLOOKUP(C385,Clean_Inventry_Master!A:A,Clean_Inventry_Master!E:E,NOT FOUND,0)</f>
        <v>1819.8600000000001</v>
      </c>
      <c r="I385" s="2">
        <f t="shared" si="16"/>
        <v>46113</v>
      </c>
      <c r="J385" t="str">
        <f t="shared" si="17"/>
        <v>Apr 2026</v>
      </c>
    </row>
    <row r="386" spans="1:10" x14ac:dyDescent="0.3">
      <c r="A386" t="s">
        <v>727</v>
      </c>
      <c r="B386" t="s">
        <v>564</v>
      </c>
      <c r="C386" t="s">
        <v>60</v>
      </c>
      <c r="D386" s="5">
        <v>12</v>
      </c>
      <c r="E386" t="s">
        <v>77</v>
      </c>
      <c r="F386" t="s">
        <v>92</v>
      </c>
      <c r="G386" s="2">
        <f t="shared" ref="G386:G449" si="18">IF(ISNUMBER(SEARCH("-", B386)), DATEVALUE(B386), DATE(RIGHT(B386,4), LEFT(B386, FIND("/", B386)-1), MID(B386, FIND("/", B386)+1, FIND("/", B386, FIND("/", B386)+1) - FIND("/", B386) - 1)))</f>
        <v>46108</v>
      </c>
      <c r="H386" cm="1">
        <f t="array" ref="H386">D386*_xlfn.XLOOKUP(C386,Clean_Inventry_Master!A:A,Clean_Inventry_Master!E:E,NOT FOUND,0)</f>
        <v>1079.8799999999999</v>
      </c>
      <c r="I386" s="2">
        <f t="shared" ref="I386:I449" si="19">DATE(YEAR(G386),MONTH(G386),1)</f>
        <v>46082</v>
      </c>
      <c r="J386" t="str">
        <f t="shared" ref="J386:J449" si="20">TEXT(I386,"mmm yyyy")</f>
        <v>Mar 2026</v>
      </c>
    </row>
    <row r="387" spans="1:10" x14ac:dyDescent="0.3">
      <c r="A387" t="s">
        <v>728</v>
      </c>
      <c r="B387" t="s">
        <v>94</v>
      </c>
      <c r="C387" t="s">
        <v>49</v>
      </c>
      <c r="D387" s="5">
        <v>13</v>
      </c>
      <c r="E387" t="s">
        <v>77</v>
      </c>
      <c r="F387" t="s">
        <v>83</v>
      </c>
      <c r="G387" s="2">
        <f t="shared" si="18"/>
        <v>46281</v>
      </c>
      <c r="H387" cm="1">
        <f t="array" ref="H387">D387*_xlfn.XLOOKUP(C387,Clean_Inventry_Master!A:A,Clean_Inventry_Master!E:E,NOT FOUND,0)</f>
        <v>649.87</v>
      </c>
      <c r="I387" s="2">
        <f t="shared" si="19"/>
        <v>46266</v>
      </c>
      <c r="J387" t="str">
        <f t="shared" si="20"/>
        <v>Sep 2026</v>
      </c>
    </row>
    <row r="388" spans="1:10" x14ac:dyDescent="0.3">
      <c r="A388" t="s">
        <v>729</v>
      </c>
      <c r="B388" t="s">
        <v>181</v>
      </c>
      <c r="C388" t="s">
        <v>66</v>
      </c>
      <c r="D388" s="5">
        <v>8</v>
      </c>
      <c r="E388" t="s">
        <v>91</v>
      </c>
      <c r="F388" t="s">
        <v>78</v>
      </c>
      <c r="G388" s="2">
        <f t="shared" si="18"/>
        <v>46137</v>
      </c>
      <c r="H388" cm="1">
        <f t="array" ref="H388">D388*_xlfn.XLOOKUP(C388,Clean_Inventry_Master!A:A,Clean_Inventry_Master!E:E,NOT FOUND,0)</f>
        <v>279.92</v>
      </c>
      <c r="I388" s="2">
        <f t="shared" si="19"/>
        <v>46113</v>
      </c>
      <c r="J388" t="str">
        <f t="shared" si="20"/>
        <v>Apr 2026</v>
      </c>
    </row>
    <row r="389" spans="1:10" x14ac:dyDescent="0.3">
      <c r="A389" t="s">
        <v>730</v>
      </c>
      <c r="B389" t="s">
        <v>391</v>
      </c>
      <c r="C389" t="s">
        <v>22</v>
      </c>
      <c r="D389" s="5">
        <v>5</v>
      </c>
      <c r="E389" t="s">
        <v>77</v>
      </c>
      <c r="F389" t="s">
        <v>78</v>
      </c>
      <c r="G389" s="2">
        <f t="shared" si="18"/>
        <v>46060</v>
      </c>
      <c r="H389" cm="1">
        <f t="array" ref="H389">D389*_xlfn.XLOOKUP(C389,Clean_Inventry_Master!A:A,Clean_Inventry_Master!E:E,NOT FOUND,0)</f>
        <v>599.94999999999993</v>
      </c>
      <c r="I389" s="2">
        <f t="shared" si="19"/>
        <v>46054</v>
      </c>
      <c r="J389" t="str">
        <f t="shared" si="20"/>
        <v>Feb 2026</v>
      </c>
    </row>
    <row r="390" spans="1:10" x14ac:dyDescent="0.3">
      <c r="A390" t="s">
        <v>731</v>
      </c>
      <c r="B390" t="s">
        <v>132</v>
      </c>
      <c r="C390" t="s">
        <v>56</v>
      </c>
      <c r="D390" s="5">
        <v>1</v>
      </c>
      <c r="E390" t="s">
        <v>82</v>
      </c>
      <c r="F390" t="s">
        <v>83</v>
      </c>
      <c r="G390" s="2">
        <f t="shared" si="18"/>
        <v>46094</v>
      </c>
      <c r="H390" cm="1">
        <f t="array" ref="H390">D390*_xlfn.XLOOKUP(C390,Clean_Inventry_Master!A:A,Clean_Inventry_Master!E:E,NOT FOUND,0)</f>
        <v>29.99</v>
      </c>
      <c r="I390" s="2">
        <f t="shared" si="19"/>
        <v>46082</v>
      </c>
      <c r="J390" t="str">
        <f t="shared" si="20"/>
        <v>Mar 2026</v>
      </c>
    </row>
    <row r="391" spans="1:10" x14ac:dyDescent="0.3">
      <c r="A391" t="s">
        <v>732</v>
      </c>
      <c r="B391" t="s">
        <v>181</v>
      </c>
      <c r="C391" t="s">
        <v>20</v>
      </c>
      <c r="D391" s="5">
        <v>3</v>
      </c>
      <c r="E391" t="s">
        <v>82</v>
      </c>
      <c r="F391" t="s">
        <v>78</v>
      </c>
      <c r="G391" s="2">
        <f t="shared" si="18"/>
        <v>46137</v>
      </c>
      <c r="H391" cm="1">
        <f t="array" ref="H391">D391*_xlfn.XLOOKUP(C391,Clean_Inventry_Master!A:A,Clean_Inventry_Master!E:E,NOT FOUND,0)</f>
        <v>239.96999999999997</v>
      </c>
      <c r="I391" s="2">
        <f t="shared" si="19"/>
        <v>46113</v>
      </c>
      <c r="J391" t="str">
        <f t="shared" si="20"/>
        <v>Apr 2026</v>
      </c>
    </row>
    <row r="392" spans="1:10" x14ac:dyDescent="0.3">
      <c r="A392" t="s">
        <v>733</v>
      </c>
      <c r="B392" t="s">
        <v>502</v>
      </c>
      <c r="C392" t="s">
        <v>66</v>
      </c>
      <c r="D392" s="5">
        <v>13</v>
      </c>
      <c r="E392" t="s">
        <v>82</v>
      </c>
      <c r="F392" t="s">
        <v>78</v>
      </c>
      <c r="G392" s="2">
        <f t="shared" si="18"/>
        <v>46240</v>
      </c>
      <c r="H392" cm="1">
        <f t="array" ref="H392">D392*_xlfn.XLOOKUP(C392,Clean_Inventry_Master!A:A,Clean_Inventry_Master!E:E,NOT FOUND,0)</f>
        <v>454.87</v>
      </c>
      <c r="I392" s="2">
        <f t="shared" si="19"/>
        <v>46235</v>
      </c>
      <c r="J392" t="str">
        <f t="shared" si="20"/>
        <v>Aug 2026</v>
      </c>
    </row>
    <row r="393" spans="1:10" x14ac:dyDescent="0.3">
      <c r="A393" t="s">
        <v>734</v>
      </c>
      <c r="B393" t="s">
        <v>735</v>
      </c>
      <c r="C393" t="s">
        <v>45</v>
      </c>
      <c r="D393" s="5">
        <v>3</v>
      </c>
      <c r="E393" t="s">
        <v>1308</v>
      </c>
      <c r="F393" t="s">
        <v>78</v>
      </c>
      <c r="G393" s="2">
        <f t="shared" si="18"/>
        <v>46071</v>
      </c>
      <c r="H393" cm="1">
        <f t="array" ref="H393">D393*_xlfn.XLOOKUP(C393,Clean_Inventry_Master!A:A,Clean_Inventry_Master!E:E,NOT FOUND,0)</f>
        <v>56.97</v>
      </c>
      <c r="I393" s="2">
        <f t="shared" si="19"/>
        <v>46054</v>
      </c>
      <c r="J393" t="str">
        <f t="shared" si="20"/>
        <v>Feb 2026</v>
      </c>
    </row>
    <row r="394" spans="1:10" x14ac:dyDescent="0.3">
      <c r="A394" t="s">
        <v>736</v>
      </c>
      <c r="B394" t="s">
        <v>347</v>
      </c>
      <c r="C394" t="s">
        <v>24</v>
      </c>
      <c r="D394" s="5">
        <v>5</v>
      </c>
      <c r="E394" t="s">
        <v>82</v>
      </c>
      <c r="F394" t="s">
        <v>78</v>
      </c>
      <c r="G394" s="2">
        <f t="shared" si="18"/>
        <v>46113</v>
      </c>
      <c r="H394" cm="1">
        <f t="array" ref="H394">D394*_xlfn.XLOOKUP(C394,Clean_Inventry_Master!A:A,Clean_Inventry_Master!E:E,NOT FOUND,0)</f>
        <v>699.95</v>
      </c>
      <c r="I394" s="2">
        <f t="shared" si="19"/>
        <v>46113</v>
      </c>
      <c r="J394" t="str">
        <f t="shared" si="20"/>
        <v>Apr 2026</v>
      </c>
    </row>
    <row r="395" spans="1:10" x14ac:dyDescent="0.3">
      <c r="A395" t="s">
        <v>738</v>
      </c>
      <c r="B395" t="s">
        <v>739</v>
      </c>
      <c r="C395" t="s">
        <v>12</v>
      </c>
      <c r="D395" s="5">
        <v>6</v>
      </c>
      <c r="E395" t="s">
        <v>1308</v>
      </c>
      <c r="F395" t="s">
        <v>78</v>
      </c>
      <c r="G395" s="2">
        <f t="shared" si="18"/>
        <v>46235</v>
      </c>
      <c r="H395" cm="1">
        <f t="array" ref="H395">D395*_xlfn.XLOOKUP(C395,Clean_Inventry_Master!A:A,Clean_Inventry_Master!E:E,NOT FOUND,0)</f>
        <v>570</v>
      </c>
      <c r="I395" s="2">
        <f t="shared" si="19"/>
        <v>46235</v>
      </c>
      <c r="J395" t="str">
        <f t="shared" si="20"/>
        <v>Aug 2026</v>
      </c>
    </row>
    <row r="396" spans="1:10" x14ac:dyDescent="0.3">
      <c r="A396" t="s">
        <v>740</v>
      </c>
      <c r="B396" t="s">
        <v>741</v>
      </c>
      <c r="C396" t="s">
        <v>54</v>
      </c>
      <c r="D396" s="5">
        <v>7</v>
      </c>
      <c r="E396" t="s">
        <v>77</v>
      </c>
      <c r="F396" t="s">
        <v>92</v>
      </c>
      <c r="G396" s="2">
        <f t="shared" si="18"/>
        <v>46142</v>
      </c>
      <c r="H396" cm="1">
        <f t="array" ref="H396">D396*_xlfn.XLOOKUP(C396,Clean_Inventry_Master!A:A,Clean_Inventry_Master!E:E,NOT FOUND,0)</f>
        <v>2449.9300000000003</v>
      </c>
      <c r="I396" s="2">
        <f t="shared" si="19"/>
        <v>46113</v>
      </c>
      <c r="J396" t="str">
        <f t="shared" si="20"/>
        <v>Apr 2026</v>
      </c>
    </row>
    <row r="397" spans="1:10" x14ac:dyDescent="0.3">
      <c r="A397" t="s">
        <v>742</v>
      </c>
      <c r="B397" t="s">
        <v>145</v>
      </c>
      <c r="C397" t="s">
        <v>31</v>
      </c>
      <c r="D397" s="5">
        <v>5</v>
      </c>
      <c r="E397" t="s">
        <v>77</v>
      </c>
      <c r="F397" t="s">
        <v>83</v>
      </c>
      <c r="G397" s="2">
        <f t="shared" si="18"/>
        <v>46287</v>
      </c>
      <c r="H397" cm="1">
        <f t="array" ref="H397">D397*_xlfn.XLOOKUP(C397,Clean_Inventry_Master!A:A,Clean_Inventry_Master!E:E,NOT FOUND,0)</f>
        <v>75</v>
      </c>
      <c r="I397" s="2">
        <f t="shared" si="19"/>
        <v>46266</v>
      </c>
      <c r="J397" t="str">
        <f t="shared" si="20"/>
        <v>Sep 2026</v>
      </c>
    </row>
    <row r="398" spans="1:10" x14ac:dyDescent="0.3">
      <c r="A398" t="s">
        <v>743</v>
      </c>
      <c r="B398" t="s">
        <v>328</v>
      </c>
      <c r="C398" t="s">
        <v>45</v>
      </c>
      <c r="D398" s="5">
        <v>11</v>
      </c>
      <c r="E398" t="s">
        <v>1308</v>
      </c>
      <c r="F398" t="s">
        <v>92</v>
      </c>
      <c r="G398" s="2">
        <f t="shared" si="18"/>
        <v>46076</v>
      </c>
      <c r="H398" cm="1">
        <f t="array" ref="H398">D398*_xlfn.XLOOKUP(C398,Clean_Inventry_Master!A:A,Clean_Inventry_Master!E:E,NOT FOUND,0)</f>
        <v>208.89</v>
      </c>
      <c r="I398" s="2">
        <f t="shared" si="19"/>
        <v>46054</v>
      </c>
      <c r="J398" t="str">
        <f t="shared" si="20"/>
        <v>Feb 2026</v>
      </c>
    </row>
    <row r="399" spans="1:10" x14ac:dyDescent="0.3">
      <c r="A399" t="s">
        <v>744</v>
      </c>
      <c r="B399" t="s">
        <v>502</v>
      </c>
      <c r="C399" t="s">
        <v>41</v>
      </c>
      <c r="D399" s="5">
        <v>7</v>
      </c>
      <c r="E399" t="s">
        <v>77</v>
      </c>
      <c r="F399" t="s">
        <v>83</v>
      </c>
      <c r="G399" s="2">
        <f t="shared" si="18"/>
        <v>46240</v>
      </c>
      <c r="H399" cm="1">
        <f t="array" ref="H399">D399*_xlfn.XLOOKUP(C399,Clean_Inventry_Master!A:A,Clean_Inventry_Master!E:E,NOT FOUND,0)</f>
        <v>279.93</v>
      </c>
      <c r="I399" s="2">
        <f t="shared" si="19"/>
        <v>46235</v>
      </c>
      <c r="J399" t="str">
        <f t="shared" si="20"/>
        <v>Aug 2026</v>
      </c>
    </row>
    <row r="400" spans="1:10" x14ac:dyDescent="0.3">
      <c r="A400" t="s">
        <v>745</v>
      </c>
      <c r="B400" t="s">
        <v>269</v>
      </c>
      <c r="C400" t="s">
        <v>33</v>
      </c>
      <c r="D400" s="5">
        <v>7</v>
      </c>
      <c r="E400" t="s">
        <v>1308</v>
      </c>
      <c r="F400" t="s">
        <v>92</v>
      </c>
      <c r="G400" s="2">
        <f t="shared" si="18"/>
        <v>46128</v>
      </c>
      <c r="H400" cm="1">
        <f t="array" ref="H400">D400*_xlfn.XLOOKUP(C400,Clean_Inventry_Master!A:A,Clean_Inventry_Master!E:E,NOT FOUND,0)</f>
        <v>168</v>
      </c>
      <c r="I400" s="2">
        <f t="shared" si="19"/>
        <v>46113</v>
      </c>
      <c r="J400" t="str">
        <f t="shared" si="20"/>
        <v>Apr 2026</v>
      </c>
    </row>
    <row r="401" spans="1:10" x14ac:dyDescent="0.3">
      <c r="A401" t="s">
        <v>746</v>
      </c>
      <c r="B401" t="s">
        <v>211</v>
      </c>
      <c r="C401" t="s">
        <v>7</v>
      </c>
      <c r="D401" s="5">
        <v>6</v>
      </c>
      <c r="E401" t="s">
        <v>91</v>
      </c>
      <c r="F401" t="s">
        <v>78</v>
      </c>
      <c r="G401" s="2">
        <f t="shared" si="18"/>
        <v>46194</v>
      </c>
      <c r="H401" cm="1">
        <f t="array" ref="H401">D401*_xlfn.XLOOKUP(C401,Clean_Inventry_Master!A:A,Clean_Inventry_Master!E:E,NOT FOUND,0)</f>
        <v>270</v>
      </c>
      <c r="I401" s="2">
        <f t="shared" si="19"/>
        <v>46174</v>
      </c>
      <c r="J401" t="str">
        <f t="shared" si="20"/>
        <v>Jun 2026</v>
      </c>
    </row>
    <row r="402" spans="1:10" x14ac:dyDescent="0.3">
      <c r="A402" t="s">
        <v>747</v>
      </c>
      <c r="B402" t="s">
        <v>748</v>
      </c>
      <c r="C402" t="s">
        <v>47</v>
      </c>
      <c r="D402" s="5">
        <v>14</v>
      </c>
      <c r="E402" t="s">
        <v>1308</v>
      </c>
      <c r="F402" t="s">
        <v>83</v>
      </c>
      <c r="G402" s="2">
        <f t="shared" si="18"/>
        <v>46171</v>
      </c>
      <c r="H402" cm="1">
        <f t="array" ref="H402">D402*_xlfn.XLOOKUP(C402,Clean_Inventry_Master!A:A,Clean_Inventry_Master!E:E,NOT FOUND,0)</f>
        <v>1819.8600000000001</v>
      </c>
      <c r="I402" s="2">
        <f t="shared" si="19"/>
        <v>46143</v>
      </c>
      <c r="J402" t="str">
        <f t="shared" si="20"/>
        <v>May 2026</v>
      </c>
    </row>
    <row r="403" spans="1:10" x14ac:dyDescent="0.3">
      <c r="A403" t="s">
        <v>749</v>
      </c>
      <c r="B403" t="s">
        <v>750</v>
      </c>
      <c r="C403" t="s">
        <v>68</v>
      </c>
      <c r="D403" s="5">
        <v>3</v>
      </c>
      <c r="E403" t="s">
        <v>82</v>
      </c>
      <c r="F403" t="s">
        <v>83</v>
      </c>
      <c r="G403" s="2">
        <f t="shared" si="18"/>
        <v>46143</v>
      </c>
      <c r="H403" cm="1">
        <f t="array" ref="H403">D403*_xlfn.XLOOKUP(C403,Clean_Inventry_Master!A:A,Clean_Inventry_Master!E:E,NOT FOUND,0)</f>
        <v>127.5</v>
      </c>
      <c r="I403" s="2">
        <f t="shared" si="19"/>
        <v>46143</v>
      </c>
      <c r="J403" t="str">
        <f t="shared" si="20"/>
        <v>May 2026</v>
      </c>
    </row>
    <row r="404" spans="1:10" x14ac:dyDescent="0.3">
      <c r="A404" t="s">
        <v>751</v>
      </c>
      <c r="B404" t="s">
        <v>189</v>
      </c>
      <c r="C404" t="s">
        <v>24</v>
      </c>
      <c r="D404" s="5">
        <v>4</v>
      </c>
      <c r="E404" t="s">
        <v>77</v>
      </c>
      <c r="F404" t="s">
        <v>78</v>
      </c>
      <c r="G404" s="2">
        <f t="shared" si="18"/>
        <v>46302</v>
      </c>
      <c r="H404" cm="1">
        <f t="array" ref="H404">D404*_xlfn.XLOOKUP(C404,Clean_Inventry_Master!A:A,Clean_Inventry_Master!E:E,NOT FOUND,0)</f>
        <v>559.96</v>
      </c>
      <c r="I404" s="2">
        <f t="shared" si="19"/>
        <v>46296</v>
      </c>
      <c r="J404" t="str">
        <f t="shared" si="20"/>
        <v>Oct 2026</v>
      </c>
    </row>
    <row r="405" spans="1:10" x14ac:dyDescent="0.3">
      <c r="A405" t="s">
        <v>752</v>
      </c>
      <c r="B405" t="s">
        <v>753</v>
      </c>
      <c r="C405" t="s">
        <v>49</v>
      </c>
      <c r="D405" s="5">
        <v>2</v>
      </c>
      <c r="E405" t="s">
        <v>82</v>
      </c>
      <c r="F405" t="s">
        <v>83</v>
      </c>
      <c r="G405" s="2">
        <f t="shared" si="18"/>
        <v>46255</v>
      </c>
      <c r="H405" cm="1">
        <f t="array" ref="H405">D405*_xlfn.XLOOKUP(C405,Clean_Inventry_Master!A:A,Clean_Inventry_Master!E:E,NOT FOUND,0)</f>
        <v>99.98</v>
      </c>
      <c r="I405" s="2">
        <f t="shared" si="19"/>
        <v>46235</v>
      </c>
      <c r="J405" t="str">
        <f t="shared" si="20"/>
        <v>Aug 2026</v>
      </c>
    </row>
    <row r="406" spans="1:10" x14ac:dyDescent="0.3">
      <c r="A406" t="s">
        <v>754</v>
      </c>
      <c r="B406" t="s">
        <v>755</v>
      </c>
      <c r="C406" t="s">
        <v>26</v>
      </c>
      <c r="D406" s="5">
        <v>12</v>
      </c>
      <c r="E406" t="s">
        <v>91</v>
      </c>
      <c r="F406" t="s">
        <v>83</v>
      </c>
      <c r="G406" s="2">
        <f t="shared" si="18"/>
        <v>46197</v>
      </c>
      <c r="H406" cm="1">
        <f t="array" ref="H406">D406*_xlfn.XLOOKUP(C406,Clean_Inventry_Master!A:A,Clean_Inventry_Master!E:E,NOT FOUND,0)</f>
        <v>1079.8799999999999</v>
      </c>
      <c r="I406" s="2">
        <f t="shared" si="19"/>
        <v>46174</v>
      </c>
      <c r="J406" t="str">
        <f t="shared" si="20"/>
        <v>Jun 2026</v>
      </c>
    </row>
    <row r="407" spans="1:10" x14ac:dyDescent="0.3">
      <c r="A407" t="s">
        <v>757</v>
      </c>
      <c r="B407" t="s">
        <v>625</v>
      </c>
      <c r="C407" t="s">
        <v>12</v>
      </c>
      <c r="D407" s="5">
        <v>12</v>
      </c>
      <c r="E407" t="s">
        <v>82</v>
      </c>
      <c r="F407" t="s">
        <v>78</v>
      </c>
      <c r="G407" s="2">
        <f t="shared" si="18"/>
        <v>46032</v>
      </c>
      <c r="H407" cm="1">
        <f t="array" ref="H407">D407*_xlfn.XLOOKUP(C407,Clean_Inventry_Master!A:A,Clean_Inventry_Master!E:E,NOT FOUND,0)</f>
        <v>1140</v>
      </c>
      <c r="I407" s="2">
        <f t="shared" si="19"/>
        <v>46023</v>
      </c>
      <c r="J407" t="str">
        <f t="shared" si="20"/>
        <v>Jan 2026</v>
      </c>
    </row>
    <row r="408" spans="1:10" x14ac:dyDescent="0.3">
      <c r="A408" t="s">
        <v>758</v>
      </c>
      <c r="B408" t="s">
        <v>517</v>
      </c>
      <c r="C408" t="s">
        <v>7</v>
      </c>
      <c r="D408" s="5">
        <v>4</v>
      </c>
      <c r="E408" t="s">
        <v>1308</v>
      </c>
      <c r="F408" t="s">
        <v>78</v>
      </c>
      <c r="G408" s="2">
        <f t="shared" si="18"/>
        <v>46025</v>
      </c>
      <c r="H408" cm="1">
        <f t="array" ref="H408">D408*_xlfn.XLOOKUP(C408,Clean_Inventry_Master!A:A,Clean_Inventry_Master!E:E,NOT FOUND,0)</f>
        <v>180</v>
      </c>
      <c r="I408" s="2">
        <f t="shared" si="19"/>
        <v>46023</v>
      </c>
      <c r="J408" t="str">
        <f t="shared" si="20"/>
        <v>Jan 2026</v>
      </c>
    </row>
    <row r="409" spans="1:10" x14ac:dyDescent="0.3">
      <c r="A409" t="s">
        <v>759</v>
      </c>
      <c r="B409" t="s">
        <v>760</v>
      </c>
      <c r="C409" t="s">
        <v>33</v>
      </c>
      <c r="D409" s="5">
        <v>2</v>
      </c>
      <c r="E409" t="s">
        <v>82</v>
      </c>
      <c r="F409" t="s">
        <v>83</v>
      </c>
      <c r="G409" s="2">
        <f t="shared" si="18"/>
        <v>46279</v>
      </c>
      <c r="H409" cm="1">
        <f t="array" ref="H409">D409*_xlfn.XLOOKUP(C409,Clean_Inventry_Master!A:A,Clean_Inventry_Master!E:E,NOT FOUND,0)</f>
        <v>48</v>
      </c>
      <c r="I409" s="2">
        <f t="shared" si="19"/>
        <v>46266</v>
      </c>
      <c r="J409" t="str">
        <f t="shared" si="20"/>
        <v>Sep 2026</v>
      </c>
    </row>
    <row r="410" spans="1:10" x14ac:dyDescent="0.3">
      <c r="A410" t="s">
        <v>761</v>
      </c>
      <c r="B410" t="s">
        <v>76</v>
      </c>
      <c r="C410" t="s">
        <v>26</v>
      </c>
      <c r="D410" s="5">
        <v>4</v>
      </c>
      <c r="E410" t="s">
        <v>91</v>
      </c>
      <c r="F410" t="s">
        <v>83</v>
      </c>
      <c r="G410" s="2">
        <f t="shared" si="18"/>
        <v>46125</v>
      </c>
      <c r="H410" cm="1">
        <f t="array" ref="H410">D410*_xlfn.XLOOKUP(C410,Clean_Inventry_Master!A:A,Clean_Inventry_Master!E:E,NOT FOUND,0)</f>
        <v>359.96</v>
      </c>
      <c r="I410" s="2">
        <f t="shared" si="19"/>
        <v>46113</v>
      </c>
      <c r="J410" t="str">
        <f t="shared" si="20"/>
        <v>Apr 2026</v>
      </c>
    </row>
    <row r="411" spans="1:10" x14ac:dyDescent="0.3">
      <c r="A411" t="s">
        <v>762</v>
      </c>
      <c r="B411" t="s">
        <v>763</v>
      </c>
      <c r="C411" t="s">
        <v>39</v>
      </c>
      <c r="D411" s="5">
        <v>13</v>
      </c>
      <c r="E411" t="s">
        <v>1308</v>
      </c>
      <c r="F411" t="s">
        <v>92</v>
      </c>
      <c r="G411" s="2">
        <f t="shared" si="18"/>
        <v>46223</v>
      </c>
      <c r="H411" cm="1">
        <f t="array" ref="H411">D411*_xlfn.XLOOKUP(C411,Clean_Inventry_Master!A:A,Clean_Inventry_Master!E:E,NOT FOUND,0)</f>
        <v>285.87</v>
      </c>
      <c r="I411" s="2">
        <f t="shared" si="19"/>
        <v>46204</v>
      </c>
      <c r="J411" t="str">
        <f t="shared" si="20"/>
        <v>Jul 2026</v>
      </c>
    </row>
    <row r="412" spans="1:10" x14ac:dyDescent="0.3">
      <c r="A412" t="s">
        <v>764</v>
      </c>
      <c r="B412" t="s">
        <v>388</v>
      </c>
      <c r="C412" t="s">
        <v>35</v>
      </c>
      <c r="D412" s="5">
        <v>1</v>
      </c>
      <c r="E412" t="s">
        <v>91</v>
      </c>
      <c r="F412" t="s">
        <v>92</v>
      </c>
      <c r="G412" s="2">
        <f t="shared" si="18"/>
        <v>46268</v>
      </c>
      <c r="H412" cm="1">
        <f t="array" ref="H412">D412*_xlfn.XLOOKUP(C412,Clean_Inventry_Master!A:A,Clean_Inventry_Master!E:E,NOT FOUND,0)</f>
        <v>9.99</v>
      </c>
      <c r="I412" s="2">
        <f t="shared" si="19"/>
        <v>46266</v>
      </c>
      <c r="J412" t="str">
        <f t="shared" si="20"/>
        <v>Sep 2026</v>
      </c>
    </row>
    <row r="413" spans="1:10" x14ac:dyDescent="0.3">
      <c r="A413" t="s">
        <v>765</v>
      </c>
      <c r="B413" t="s">
        <v>98</v>
      </c>
      <c r="C413" t="s">
        <v>12</v>
      </c>
      <c r="D413" s="5">
        <v>14</v>
      </c>
      <c r="E413" t="s">
        <v>91</v>
      </c>
      <c r="F413" t="s">
        <v>78</v>
      </c>
      <c r="G413" s="2">
        <f t="shared" si="18"/>
        <v>46150</v>
      </c>
      <c r="H413" cm="1">
        <f t="array" ref="H413">D413*_xlfn.XLOOKUP(C413,Clean_Inventry_Master!A:A,Clean_Inventry_Master!E:E,NOT FOUND,0)</f>
        <v>1330</v>
      </c>
      <c r="I413" s="2">
        <f t="shared" si="19"/>
        <v>46143</v>
      </c>
      <c r="J413" t="str">
        <f t="shared" si="20"/>
        <v>May 2026</v>
      </c>
    </row>
    <row r="414" spans="1:10" x14ac:dyDescent="0.3">
      <c r="A414" t="s">
        <v>766</v>
      </c>
      <c r="B414" t="s">
        <v>177</v>
      </c>
      <c r="C414" t="s">
        <v>60</v>
      </c>
      <c r="D414" s="5">
        <v>4</v>
      </c>
      <c r="E414" t="s">
        <v>82</v>
      </c>
      <c r="F414" t="s">
        <v>92</v>
      </c>
      <c r="G414" s="2">
        <f t="shared" si="18"/>
        <v>46129</v>
      </c>
      <c r="H414" cm="1">
        <f t="array" ref="H414">D414*_xlfn.XLOOKUP(C414,Clean_Inventry_Master!A:A,Clean_Inventry_Master!E:E,NOT FOUND,0)</f>
        <v>359.96</v>
      </c>
      <c r="I414" s="2">
        <f t="shared" si="19"/>
        <v>46113</v>
      </c>
      <c r="J414" t="str">
        <f t="shared" si="20"/>
        <v>Apr 2026</v>
      </c>
    </row>
    <row r="415" spans="1:10" x14ac:dyDescent="0.3">
      <c r="A415" t="s">
        <v>767</v>
      </c>
      <c r="B415" t="s">
        <v>364</v>
      </c>
      <c r="C415" t="s">
        <v>20</v>
      </c>
      <c r="D415" s="5">
        <v>5</v>
      </c>
      <c r="E415" t="s">
        <v>91</v>
      </c>
      <c r="F415" t="s">
        <v>92</v>
      </c>
      <c r="G415" s="2">
        <f t="shared" si="18"/>
        <v>46243</v>
      </c>
      <c r="H415" cm="1">
        <f t="array" ref="H415">D415*_xlfn.XLOOKUP(C415,Clean_Inventry_Master!A:A,Clean_Inventry_Master!E:E,NOT FOUND,0)</f>
        <v>399.95</v>
      </c>
      <c r="I415" s="2">
        <f t="shared" si="19"/>
        <v>46235</v>
      </c>
      <c r="J415" t="str">
        <f t="shared" si="20"/>
        <v>Aug 2026</v>
      </c>
    </row>
    <row r="416" spans="1:10" x14ac:dyDescent="0.3">
      <c r="A416" t="s">
        <v>768</v>
      </c>
      <c r="B416" t="s">
        <v>104</v>
      </c>
      <c r="C416" t="s">
        <v>28</v>
      </c>
      <c r="D416" s="5">
        <v>2</v>
      </c>
      <c r="E416" t="s">
        <v>91</v>
      </c>
      <c r="F416" t="s">
        <v>78</v>
      </c>
      <c r="G416" s="2">
        <f t="shared" si="18"/>
        <v>46275</v>
      </c>
      <c r="H416" cm="1">
        <f t="array" ref="H416">D416*_xlfn.XLOOKUP(C416,Clean_Inventry_Master!A:A,Clean_Inventry_Master!E:E,NOT FOUND,0)</f>
        <v>360</v>
      </c>
      <c r="I416" s="2">
        <f t="shared" si="19"/>
        <v>46266</v>
      </c>
      <c r="J416" t="str">
        <f t="shared" si="20"/>
        <v>Sep 2026</v>
      </c>
    </row>
    <row r="417" spans="1:10" x14ac:dyDescent="0.3">
      <c r="A417" t="s">
        <v>769</v>
      </c>
      <c r="B417" t="s">
        <v>593</v>
      </c>
      <c r="C417" t="s">
        <v>7</v>
      </c>
      <c r="D417" s="5">
        <v>2</v>
      </c>
      <c r="E417" t="s">
        <v>77</v>
      </c>
      <c r="F417" t="s">
        <v>78</v>
      </c>
      <c r="G417" s="2">
        <f t="shared" si="18"/>
        <v>46116</v>
      </c>
      <c r="H417" cm="1">
        <f t="array" ref="H417">D417*_xlfn.XLOOKUP(C417,Clean_Inventry_Master!A:A,Clean_Inventry_Master!E:E,NOT FOUND,0)</f>
        <v>90</v>
      </c>
      <c r="I417" s="2">
        <f t="shared" si="19"/>
        <v>46113</v>
      </c>
      <c r="J417" t="str">
        <f t="shared" si="20"/>
        <v>Apr 2026</v>
      </c>
    </row>
    <row r="418" spans="1:10" x14ac:dyDescent="0.3">
      <c r="A418" t="s">
        <v>770</v>
      </c>
      <c r="B418" t="s">
        <v>115</v>
      </c>
      <c r="C418" t="s">
        <v>22</v>
      </c>
      <c r="D418" s="5">
        <v>7</v>
      </c>
      <c r="E418" t="s">
        <v>77</v>
      </c>
      <c r="F418" t="s">
        <v>83</v>
      </c>
      <c r="G418" s="2">
        <f t="shared" si="18"/>
        <v>46127</v>
      </c>
      <c r="H418" cm="1">
        <f t="array" ref="H418">D418*_xlfn.XLOOKUP(C418,Clean_Inventry_Master!A:A,Clean_Inventry_Master!E:E,NOT FOUND,0)</f>
        <v>839.93</v>
      </c>
      <c r="I418" s="2">
        <f t="shared" si="19"/>
        <v>46113</v>
      </c>
      <c r="J418" t="str">
        <f t="shared" si="20"/>
        <v>Apr 2026</v>
      </c>
    </row>
    <row r="419" spans="1:10" x14ac:dyDescent="0.3">
      <c r="A419" t="s">
        <v>771</v>
      </c>
      <c r="B419" t="s">
        <v>772</v>
      </c>
      <c r="C419" t="s">
        <v>7</v>
      </c>
      <c r="D419" s="5">
        <v>8</v>
      </c>
      <c r="E419" t="s">
        <v>77</v>
      </c>
      <c r="F419" t="s">
        <v>78</v>
      </c>
      <c r="G419" s="2">
        <f t="shared" si="18"/>
        <v>46059</v>
      </c>
      <c r="H419" cm="1">
        <f t="array" ref="H419">D419*_xlfn.XLOOKUP(C419,Clean_Inventry_Master!A:A,Clean_Inventry_Master!E:E,NOT FOUND,0)</f>
        <v>360</v>
      </c>
      <c r="I419" s="2">
        <f t="shared" si="19"/>
        <v>46054</v>
      </c>
      <c r="J419" t="str">
        <f t="shared" si="20"/>
        <v>Feb 2026</v>
      </c>
    </row>
    <row r="420" spans="1:10" x14ac:dyDescent="0.3">
      <c r="A420" t="s">
        <v>773</v>
      </c>
      <c r="B420" t="s">
        <v>774</v>
      </c>
      <c r="C420" t="s">
        <v>39</v>
      </c>
      <c r="D420" s="5">
        <v>3</v>
      </c>
      <c r="E420" t="s">
        <v>82</v>
      </c>
      <c r="F420" t="s">
        <v>92</v>
      </c>
      <c r="G420" s="2">
        <f t="shared" si="18"/>
        <v>46273</v>
      </c>
      <c r="H420" cm="1">
        <f t="array" ref="H420">D420*_xlfn.XLOOKUP(C420,Clean_Inventry_Master!A:A,Clean_Inventry_Master!E:E,NOT FOUND,0)</f>
        <v>65.97</v>
      </c>
      <c r="I420" s="2">
        <f t="shared" si="19"/>
        <v>46266</v>
      </c>
      <c r="J420" t="str">
        <f t="shared" si="20"/>
        <v>Sep 2026</v>
      </c>
    </row>
    <row r="421" spans="1:10" x14ac:dyDescent="0.3">
      <c r="A421" t="s">
        <v>775</v>
      </c>
      <c r="B421" t="s">
        <v>650</v>
      </c>
      <c r="C421" t="s">
        <v>26</v>
      </c>
      <c r="D421" s="5">
        <v>4</v>
      </c>
      <c r="E421" t="s">
        <v>1308</v>
      </c>
      <c r="F421" t="s">
        <v>78</v>
      </c>
      <c r="G421" s="2">
        <f t="shared" si="18"/>
        <v>46099</v>
      </c>
      <c r="H421" cm="1">
        <f t="array" ref="H421">D421*_xlfn.XLOOKUP(C421,Clean_Inventry_Master!A:A,Clean_Inventry_Master!E:E,NOT FOUND,0)</f>
        <v>359.96</v>
      </c>
      <c r="I421" s="2">
        <f t="shared" si="19"/>
        <v>46082</v>
      </c>
      <c r="J421" t="str">
        <f t="shared" si="20"/>
        <v>Mar 2026</v>
      </c>
    </row>
    <row r="422" spans="1:10" x14ac:dyDescent="0.3">
      <c r="A422" t="s">
        <v>776</v>
      </c>
      <c r="B422" t="s">
        <v>90</v>
      </c>
      <c r="C422" t="s">
        <v>16</v>
      </c>
      <c r="D422" s="5">
        <v>10</v>
      </c>
      <c r="E422" t="s">
        <v>77</v>
      </c>
      <c r="F422" t="s">
        <v>92</v>
      </c>
      <c r="G422" s="2">
        <f t="shared" si="18"/>
        <v>46253</v>
      </c>
      <c r="H422" cm="1">
        <f t="array" ref="H422">D422*_xlfn.XLOOKUP(C422,Clean_Inventry_Master!A:A,Clean_Inventry_Master!E:E,NOT FOUND,0)</f>
        <v>2290</v>
      </c>
      <c r="I422" s="2">
        <f t="shared" si="19"/>
        <v>46235</v>
      </c>
      <c r="J422" t="str">
        <f t="shared" si="20"/>
        <v>Aug 2026</v>
      </c>
    </row>
    <row r="423" spans="1:10" x14ac:dyDescent="0.3">
      <c r="A423" t="s">
        <v>777</v>
      </c>
      <c r="B423" t="s">
        <v>735</v>
      </c>
      <c r="C423" t="s">
        <v>16</v>
      </c>
      <c r="D423" s="5">
        <v>2</v>
      </c>
      <c r="E423" t="s">
        <v>91</v>
      </c>
      <c r="F423" t="s">
        <v>78</v>
      </c>
      <c r="G423" s="2">
        <f t="shared" si="18"/>
        <v>46071</v>
      </c>
      <c r="H423" cm="1">
        <f t="array" ref="H423">D423*_xlfn.XLOOKUP(C423,Clean_Inventry_Master!A:A,Clean_Inventry_Master!E:E,NOT FOUND,0)</f>
        <v>458</v>
      </c>
      <c r="I423" s="2">
        <f t="shared" si="19"/>
        <v>46054</v>
      </c>
      <c r="J423" t="str">
        <f t="shared" si="20"/>
        <v>Feb 2026</v>
      </c>
    </row>
    <row r="424" spans="1:10" x14ac:dyDescent="0.3">
      <c r="A424" t="s">
        <v>778</v>
      </c>
      <c r="B424" t="s">
        <v>446</v>
      </c>
      <c r="C424" t="s">
        <v>12</v>
      </c>
      <c r="D424" s="5">
        <v>12</v>
      </c>
      <c r="E424" t="s">
        <v>1308</v>
      </c>
      <c r="F424" t="s">
        <v>78</v>
      </c>
      <c r="G424" s="2">
        <f t="shared" si="18"/>
        <v>46261</v>
      </c>
      <c r="H424" cm="1">
        <f t="array" ref="H424">D424*_xlfn.XLOOKUP(C424,Clean_Inventry_Master!A:A,Clean_Inventry_Master!E:E,NOT FOUND,0)</f>
        <v>1140</v>
      </c>
      <c r="I424" s="2">
        <f t="shared" si="19"/>
        <v>46235</v>
      </c>
      <c r="J424" t="str">
        <f t="shared" si="20"/>
        <v>Aug 2026</v>
      </c>
    </row>
    <row r="425" spans="1:10" x14ac:dyDescent="0.3">
      <c r="A425" t="s">
        <v>779</v>
      </c>
      <c r="B425" t="s">
        <v>741</v>
      </c>
      <c r="C425" t="s">
        <v>16</v>
      </c>
      <c r="D425" s="5">
        <v>6</v>
      </c>
      <c r="E425" t="s">
        <v>91</v>
      </c>
      <c r="F425" t="s">
        <v>83</v>
      </c>
      <c r="G425" s="2">
        <f t="shared" si="18"/>
        <v>46142</v>
      </c>
      <c r="H425" cm="1">
        <f t="array" ref="H425">D425*_xlfn.XLOOKUP(C425,Clean_Inventry_Master!A:A,Clean_Inventry_Master!E:E,NOT FOUND,0)</f>
        <v>1374</v>
      </c>
      <c r="I425" s="2">
        <f t="shared" si="19"/>
        <v>46113</v>
      </c>
      <c r="J425" t="str">
        <f t="shared" si="20"/>
        <v>Apr 2026</v>
      </c>
    </row>
    <row r="426" spans="1:10" x14ac:dyDescent="0.3">
      <c r="A426" t="s">
        <v>780</v>
      </c>
      <c r="B426" t="s">
        <v>781</v>
      </c>
      <c r="C426" t="s">
        <v>41</v>
      </c>
      <c r="D426" s="5">
        <v>2</v>
      </c>
      <c r="E426" t="s">
        <v>91</v>
      </c>
      <c r="F426" t="s">
        <v>92</v>
      </c>
      <c r="G426" s="2">
        <f t="shared" si="18"/>
        <v>46278</v>
      </c>
      <c r="H426" cm="1">
        <f t="array" ref="H426">D426*_xlfn.XLOOKUP(C426,Clean_Inventry_Master!A:A,Clean_Inventry_Master!E:E,NOT FOUND,0)</f>
        <v>79.98</v>
      </c>
      <c r="I426" s="2">
        <f t="shared" si="19"/>
        <v>46266</v>
      </c>
      <c r="J426" t="str">
        <f t="shared" si="20"/>
        <v>Sep 2026</v>
      </c>
    </row>
    <row r="427" spans="1:10" x14ac:dyDescent="0.3">
      <c r="A427" t="s">
        <v>782</v>
      </c>
      <c r="B427" t="s">
        <v>783</v>
      </c>
      <c r="C427" t="s">
        <v>10</v>
      </c>
      <c r="D427" s="5">
        <v>8</v>
      </c>
      <c r="E427" t="s">
        <v>77</v>
      </c>
      <c r="F427" t="s">
        <v>83</v>
      </c>
      <c r="G427" s="2">
        <f t="shared" si="18"/>
        <v>46250</v>
      </c>
      <c r="H427" cm="1">
        <f t="array" ref="H427">D427*_xlfn.XLOOKUP(C427,Clean_Inventry_Master!A:A,Clean_Inventry_Master!E:E,NOT FOUND,0)</f>
        <v>3992</v>
      </c>
      <c r="I427" s="2">
        <f t="shared" si="19"/>
        <v>46235</v>
      </c>
      <c r="J427" t="str">
        <f t="shared" si="20"/>
        <v>Aug 2026</v>
      </c>
    </row>
    <row r="428" spans="1:10" x14ac:dyDescent="0.3">
      <c r="A428" t="s">
        <v>784</v>
      </c>
      <c r="B428" t="s">
        <v>361</v>
      </c>
      <c r="C428" t="s">
        <v>56</v>
      </c>
      <c r="D428" s="5">
        <v>2</v>
      </c>
      <c r="E428" t="s">
        <v>82</v>
      </c>
      <c r="F428" t="s">
        <v>92</v>
      </c>
      <c r="G428" s="2">
        <f t="shared" si="18"/>
        <v>46244</v>
      </c>
      <c r="H428" cm="1">
        <f t="array" ref="H428">D428*_xlfn.XLOOKUP(C428,Clean_Inventry_Master!A:A,Clean_Inventry_Master!E:E,NOT FOUND,0)</f>
        <v>59.98</v>
      </c>
      <c r="I428" s="2">
        <f t="shared" si="19"/>
        <v>46235</v>
      </c>
      <c r="J428" t="str">
        <f t="shared" si="20"/>
        <v>Aug 2026</v>
      </c>
    </row>
    <row r="429" spans="1:10" x14ac:dyDescent="0.3">
      <c r="A429" t="s">
        <v>785</v>
      </c>
      <c r="B429" t="s">
        <v>269</v>
      </c>
      <c r="C429" t="s">
        <v>54</v>
      </c>
      <c r="D429" s="5">
        <v>7</v>
      </c>
      <c r="E429" t="s">
        <v>82</v>
      </c>
      <c r="F429" t="s">
        <v>92</v>
      </c>
      <c r="G429" s="2">
        <f t="shared" si="18"/>
        <v>46128</v>
      </c>
      <c r="H429" cm="1">
        <f t="array" ref="H429">D429*_xlfn.XLOOKUP(C429,Clean_Inventry_Master!A:A,Clean_Inventry_Master!E:E,NOT FOUND,0)</f>
        <v>2449.9300000000003</v>
      </c>
      <c r="I429" s="2">
        <f t="shared" si="19"/>
        <v>46113</v>
      </c>
      <c r="J429" t="str">
        <f t="shared" si="20"/>
        <v>Apr 2026</v>
      </c>
    </row>
    <row r="430" spans="1:10" x14ac:dyDescent="0.3">
      <c r="A430" t="s">
        <v>786</v>
      </c>
      <c r="B430" t="s">
        <v>787</v>
      </c>
      <c r="C430" t="s">
        <v>64</v>
      </c>
      <c r="D430" s="5">
        <v>7</v>
      </c>
      <c r="E430" t="s">
        <v>82</v>
      </c>
      <c r="F430" t="s">
        <v>83</v>
      </c>
      <c r="G430" s="2">
        <f t="shared" si="18"/>
        <v>46067</v>
      </c>
      <c r="H430" cm="1">
        <f t="array" ref="H430">D430*_xlfn.XLOOKUP(C430,Clean_Inventry_Master!A:A,Clean_Inventry_Master!E:E,NOT FOUND,0)</f>
        <v>139.92999999999998</v>
      </c>
      <c r="I430" s="2">
        <f t="shared" si="19"/>
        <v>46054</v>
      </c>
      <c r="J430" t="str">
        <f t="shared" si="20"/>
        <v>Feb 2026</v>
      </c>
    </row>
    <row r="431" spans="1:10" x14ac:dyDescent="0.3">
      <c r="A431" t="s">
        <v>788</v>
      </c>
      <c r="B431" t="s">
        <v>322</v>
      </c>
      <c r="C431" t="s">
        <v>43</v>
      </c>
      <c r="D431" s="5">
        <v>1</v>
      </c>
      <c r="E431" t="s">
        <v>91</v>
      </c>
      <c r="F431" t="s">
        <v>78</v>
      </c>
      <c r="G431" s="2">
        <f t="shared" si="18"/>
        <v>46228</v>
      </c>
      <c r="H431" cm="1">
        <f t="array" ref="H431">D431*_xlfn.XLOOKUP(C431,Clean_Inventry_Master!A:A,Clean_Inventry_Master!E:E,NOT FOUND,0)</f>
        <v>8.5</v>
      </c>
      <c r="I431" s="2">
        <f t="shared" si="19"/>
        <v>46204</v>
      </c>
      <c r="J431" t="str">
        <f t="shared" si="20"/>
        <v>Jul 2026</v>
      </c>
    </row>
    <row r="432" spans="1:10" x14ac:dyDescent="0.3">
      <c r="A432" t="s">
        <v>789</v>
      </c>
      <c r="B432" t="s">
        <v>189</v>
      </c>
      <c r="C432" t="s">
        <v>28</v>
      </c>
      <c r="D432" s="5">
        <v>12</v>
      </c>
      <c r="E432" t="s">
        <v>82</v>
      </c>
      <c r="F432" t="s">
        <v>78</v>
      </c>
      <c r="G432" s="2">
        <f t="shared" si="18"/>
        <v>46302</v>
      </c>
      <c r="H432" cm="1">
        <f t="array" ref="H432">D432*_xlfn.XLOOKUP(C432,Clean_Inventry_Master!A:A,Clean_Inventry_Master!E:E,NOT FOUND,0)</f>
        <v>2160</v>
      </c>
      <c r="I432" s="2">
        <f t="shared" si="19"/>
        <v>46296</v>
      </c>
      <c r="J432" t="str">
        <f t="shared" si="20"/>
        <v>Oct 2026</v>
      </c>
    </row>
    <row r="433" spans="1:10" x14ac:dyDescent="0.3">
      <c r="A433" t="s">
        <v>790</v>
      </c>
      <c r="B433" t="s">
        <v>540</v>
      </c>
      <c r="C433" t="s">
        <v>43</v>
      </c>
      <c r="D433" s="5">
        <v>14</v>
      </c>
      <c r="E433" t="s">
        <v>1308</v>
      </c>
      <c r="F433" t="s">
        <v>78</v>
      </c>
      <c r="G433" s="2">
        <f t="shared" si="18"/>
        <v>46180</v>
      </c>
      <c r="H433" cm="1">
        <f t="array" ref="H433">D433*_xlfn.XLOOKUP(C433,Clean_Inventry_Master!A:A,Clean_Inventry_Master!E:E,NOT FOUND,0)</f>
        <v>119</v>
      </c>
      <c r="I433" s="2">
        <f t="shared" si="19"/>
        <v>46174</v>
      </c>
      <c r="J433" t="str">
        <f t="shared" si="20"/>
        <v>Jun 2026</v>
      </c>
    </row>
    <row r="434" spans="1:10" x14ac:dyDescent="0.3">
      <c r="A434" t="s">
        <v>791</v>
      </c>
      <c r="B434" t="s">
        <v>90</v>
      </c>
      <c r="C434" t="s">
        <v>45</v>
      </c>
      <c r="D434" s="5">
        <v>11</v>
      </c>
      <c r="E434" t="s">
        <v>91</v>
      </c>
      <c r="F434" t="s">
        <v>78</v>
      </c>
      <c r="G434" s="2">
        <f t="shared" si="18"/>
        <v>46253</v>
      </c>
      <c r="H434" cm="1">
        <f t="array" ref="H434">D434*_xlfn.XLOOKUP(C434,Clean_Inventry_Master!A:A,Clean_Inventry_Master!E:E,NOT FOUND,0)</f>
        <v>208.89</v>
      </c>
      <c r="I434" s="2">
        <f t="shared" si="19"/>
        <v>46235</v>
      </c>
      <c r="J434" t="str">
        <f t="shared" si="20"/>
        <v>Aug 2026</v>
      </c>
    </row>
    <row r="435" spans="1:10" x14ac:dyDescent="0.3">
      <c r="A435" t="s">
        <v>792</v>
      </c>
      <c r="B435" t="s">
        <v>96</v>
      </c>
      <c r="C435" t="s">
        <v>52</v>
      </c>
      <c r="D435" s="5">
        <v>11</v>
      </c>
      <c r="E435" t="s">
        <v>77</v>
      </c>
      <c r="F435" t="s">
        <v>83</v>
      </c>
      <c r="G435" s="2">
        <f t="shared" si="18"/>
        <v>46148</v>
      </c>
      <c r="H435" cm="1">
        <f t="array" ref="H435">D435*_xlfn.XLOOKUP(C435,Clean_Inventry_Master!A:A,Clean_Inventry_Master!E:E,NOT FOUND,0)</f>
        <v>329.89</v>
      </c>
      <c r="I435" s="2">
        <f t="shared" si="19"/>
        <v>46143</v>
      </c>
      <c r="J435" t="str">
        <f t="shared" si="20"/>
        <v>May 2026</v>
      </c>
    </row>
    <row r="436" spans="1:10" x14ac:dyDescent="0.3">
      <c r="A436" t="s">
        <v>793</v>
      </c>
      <c r="B436" t="s">
        <v>794</v>
      </c>
      <c r="C436" t="s">
        <v>64</v>
      </c>
      <c r="D436" s="5">
        <v>6</v>
      </c>
      <c r="E436" t="s">
        <v>91</v>
      </c>
      <c r="F436" t="s">
        <v>78</v>
      </c>
      <c r="G436" s="2">
        <f t="shared" si="18"/>
        <v>46045</v>
      </c>
      <c r="H436" cm="1">
        <f t="array" ref="H436">D436*_xlfn.XLOOKUP(C436,Clean_Inventry_Master!A:A,Clean_Inventry_Master!E:E,NOT FOUND,0)</f>
        <v>119.94</v>
      </c>
      <c r="I436" s="2">
        <f t="shared" si="19"/>
        <v>46023</v>
      </c>
      <c r="J436" t="str">
        <f t="shared" si="20"/>
        <v>Jan 2026</v>
      </c>
    </row>
    <row r="437" spans="1:10" x14ac:dyDescent="0.3">
      <c r="A437" t="s">
        <v>795</v>
      </c>
      <c r="B437" t="s">
        <v>320</v>
      </c>
      <c r="C437" t="s">
        <v>24</v>
      </c>
      <c r="D437" s="5">
        <v>6</v>
      </c>
      <c r="E437" t="s">
        <v>1308</v>
      </c>
      <c r="F437" t="s">
        <v>78</v>
      </c>
      <c r="G437" s="2">
        <f t="shared" si="18"/>
        <v>46065</v>
      </c>
      <c r="H437" cm="1">
        <f t="array" ref="H437">D437*_xlfn.XLOOKUP(C437,Clean_Inventry_Master!A:A,Clean_Inventry_Master!E:E,NOT FOUND,0)</f>
        <v>839.94</v>
      </c>
      <c r="I437" s="2">
        <f t="shared" si="19"/>
        <v>46054</v>
      </c>
      <c r="J437" t="str">
        <f t="shared" si="20"/>
        <v>Feb 2026</v>
      </c>
    </row>
    <row r="438" spans="1:10" x14ac:dyDescent="0.3">
      <c r="A438" t="s">
        <v>796</v>
      </c>
      <c r="B438" t="s">
        <v>713</v>
      </c>
      <c r="C438" t="s">
        <v>39</v>
      </c>
      <c r="D438" s="5">
        <v>8</v>
      </c>
      <c r="E438" t="s">
        <v>91</v>
      </c>
      <c r="F438" t="s">
        <v>78</v>
      </c>
      <c r="G438" s="2">
        <f t="shared" si="18"/>
        <v>46131</v>
      </c>
      <c r="H438" cm="1">
        <f t="array" ref="H438">D438*_xlfn.XLOOKUP(C438,Clean_Inventry_Master!A:A,Clean_Inventry_Master!E:E,NOT FOUND,0)</f>
        <v>175.92</v>
      </c>
      <c r="I438" s="2">
        <f t="shared" si="19"/>
        <v>46113</v>
      </c>
      <c r="J438" t="str">
        <f t="shared" si="20"/>
        <v>Apr 2026</v>
      </c>
    </row>
    <row r="439" spans="1:10" x14ac:dyDescent="0.3">
      <c r="A439" t="s">
        <v>797</v>
      </c>
      <c r="B439" t="s">
        <v>344</v>
      </c>
      <c r="C439" t="s">
        <v>18</v>
      </c>
      <c r="D439" s="5">
        <v>2</v>
      </c>
      <c r="E439" t="s">
        <v>91</v>
      </c>
      <c r="F439" t="s">
        <v>83</v>
      </c>
      <c r="G439" s="2">
        <f t="shared" si="18"/>
        <v>46103</v>
      </c>
      <c r="H439" cm="1">
        <f t="array" ref="H439">D439*_xlfn.XLOOKUP(C439,Clean_Inventry_Master!A:A,Clean_Inventry_Master!E:E,NOT FOUND,0)</f>
        <v>139.97999999999999</v>
      </c>
      <c r="I439" s="2">
        <f t="shared" si="19"/>
        <v>46082</v>
      </c>
      <c r="J439" t="str">
        <f t="shared" si="20"/>
        <v>Mar 2026</v>
      </c>
    </row>
    <row r="440" spans="1:10" x14ac:dyDescent="0.3">
      <c r="A440" t="s">
        <v>798</v>
      </c>
      <c r="B440" t="s">
        <v>652</v>
      </c>
      <c r="C440" t="s">
        <v>26</v>
      </c>
      <c r="D440" s="5">
        <v>6</v>
      </c>
      <c r="E440" t="s">
        <v>77</v>
      </c>
      <c r="F440" t="s">
        <v>83</v>
      </c>
      <c r="G440" s="2">
        <f t="shared" si="18"/>
        <v>46301</v>
      </c>
      <c r="H440" cm="1">
        <f t="array" ref="H440">D440*_xlfn.XLOOKUP(C440,Clean_Inventry_Master!A:A,Clean_Inventry_Master!E:E,NOT FOUND,0)</f>
        <v>539.93999999999994</v>
      </c>
      <c r="I440" s="2">
        <f t="shared" si="19"/>
        <v>46296</v>
      </c>
      <c r="J440" t="str">
        <f t="shared" si="20"/>
        <v>Oct 2026</v>
      </c>
    </row>
    <row r="441" spans="1:10" x14ac:dyDescent="0.3">
      <c r="A441" t="s">
        <v>799</v>
      </c>
      <c r="B441" t="s">
        <v>800</v>
      </c>
      <c r="C441" t="s">
        <v>47</v>
      </c>
      <c r="D441" s="5">
        <v>10</v>
      </c>
      <c r="E441" t="s">
        <v>77</v>
      </c>
      <c r="F441" t="s">
        <v>78</v>
      </c>
      <c r="G441" s="2">
        <f t="shared" si="18"/>
        <v>46218</v>
      </c>
      <c r="H441" cm="1">
        <f t="array" ref="H441">D441*_xlfn.XLOOKUP(C441,Clean_Inventry_Master!A:A,Clean_Inventry_Master!E:E,NOT FOUND,0)</f>
        <v>1299.9000000000001</v>
      </c>
      <c r="I441" s="2">
        <f t="shared" si="19"/>
        <v>46204</v>
      </c>
      <c r="J441" t="str">
        <f t="shared" si="20"/>
        <v>Jul 2026</v>
      </c>
    </row>
    <row r="442" spans="1:10" x14ac:dyDescent="0.3">
      <c r="A442" t="s">
        <v>801</v>
      </c>
      <c r="B442" t="s">
        <v>794</v>
      </c>
      <c r="C442" t="s">
        <v>39</v>
      </c>
      <c r="D442" s="5">
        <v>8</v>
      </c>
      <c r="E442" t="s">
        <v>82</v>
      </c>
      <c r="F442" t="s">
        <v>92</v>
      </c>
      <c r="G442" s="2">
        <f t="shared" si="18"/>
        <v>46045</v>
      </c>
      <c r="H442" cm="1">
        <f t="array" ref="H442">D442*_xlfn.XLOOKUP(C442,Clean_Inventry_Master!A:A,Clean_Inventry_Master!E:E,NOT FOUND,0)</f>
        <v>175.92</v>
      </c>
      <c r="I442" s="2">
        <f t="shared" si="19"/>
        <v>46023</v>
      </c>
      <c r="J442" t="str">
        <f t="shared" si="20"/>
        <v>Jan 2026</v>
      </c>
    </row>
    <row r="443" spans="1:10" x14ac:dyDescent="0.3">
      <c r="A443" t="s">
        <v>802</v>
      </c>
      <c r="B443" t="s">
        <v>803</v>
      </c>
      <c r="C443" t="s">
        <v>52</v>
      </c>
      <c r="D443" s="5">
        <v>11</v>
      </c>
      <c r="E443" t="s">
        <v>1308</v>
      </c>
      <c r="F443" t="s">
        <v>83</v>
      </c>
      <c r="G443" s="2">
        <f t="shared" si="18"/>
        <v>46065</v>
      </c>
      <c r="H443" cm="1">
        <f t="array" ref="H443">D443*_xlfn.XLOOKUP(C443,Clean_Inventry_Master!A:A,Clean_Inventry_Master!E:E,NOT FOUND,0)</f>
        <v>329.89</v>
      </c>
      <c r="I443" s="2">
        <f t="shared" si="19"/>
        <v>46054</v>
      </c>
      <c r="J443" t="str">
        <f t="shared" si="20"/>
        <v>Feb 2026</v>
      </c>
    </row>
    <row r="444" spans="1:10" x14ac:dyDescent="0.3">
      <c r="A444" t="s">
        <v>804</v>
      </c>
      <c r="B444" t="s">
        <v>80</v>
      </c>
      <c r="C444" t="s">
        <v>52</v>
      </c>
      <c r="D444" s="5">
        <v>14</v>
      </c>
      <c r="E444" t="s">
        <v>77</v>
      </c>
      <c r="F444" t="s">
        <v>83</v>
      </c>
      <c r="G444" s="2">
        <f t="shared" si="18"/>
        <v>46266</v>
      </c>
      <c r="H444" cm="1">
        <f t="array" ref="H444">D444*_xlfn.XLOOKUP(C444,Clean_Inventry_Master!A:A,Clean_Inventry_Master!E:E,NOT FOUND,0)</f>
        <v>419.85999999999996</v>
      </c>
      <c r="I444" s="2">
        <f t="shared" si="19"/>
        <v>46266</v>
      </c>
      <c r="J444" t="str">
        <f t="shared" si="20"/>
        <v>Sep 2026</v>
      </c>
    </row>
    <row r="445" spans="1:10" x14ac:dyDescent="0.3">
      <c r="A445" t="s">
        <v>805</v>
      </c>
      <c r="B445" t="s">
        <v>292</v>
      </c>
      <c r="C445" t="s">
        <v>68</v>
      </c>
      <c r="D445" s="5">
        <v>1</v>
      </c>
      <c r="E445" t="s">
        <v>82</v>
      </c>
      <c r="F445" t="s">
        <v>92</v>
      </c>
      <c r="G445" s="2">
        <f t="shared" si="18"/>
        <v>46286</v>
      </c>
      <c r="H445" cm="1">
        <f t="array" ref="H445">D445*_xlfn.XLOOKUP(C445,Clean_Inventry_Master!A:A,Clean_Inventry_Master!E:E,NOT FOUND,0)</f>
        <v>42.5</v>
      </c>
      <c r="I445" s="2">
        <f t="shared" si="19"/>
        <v>46266</v>
      </c>
      <c r="J445" t="str">
        <f t="shared" si="20"/>
        <v>Sep 2026</v>
      </c>
    </row>
    <row r="446" spans="1:10" x14ac:dyDescent="0.3">
      <c r="A446" t="s">
        <v>806</v>
      </c>
      <c r="B446" t="s">
        <v>218</v>
      </c>
      <c r="C446" t="s">
        <v>56</v>
      </c>
      <c r="D446" s="5">
        <v>8</v>
      </c>
      <c r="E446" t="s">
        <v>1308</v>
      </c>
      <c r="F446" t="s">
        <v>92</v>
      </c>
      <c r="G446" s="2">
        <f t="shared" si="18"/>
        <v>46166</v>
      </c>
      <c r="H446" cm="1">
        <f t="array" ref="H446">D446*_xlfn.XLOOKUP(C446,Clean_Inventry_Master!A:A,Clean_Inventry_Master!E:E,NOT FOUND,0)</f>
        <v>239.92</v>
      </c>
      <c r="I446" s="2">
        <f t="shared" si="19"/>
        <v>46143</v>
      </c>
      <c r="J446" t="str">
        <f t="shared" si="20"/>
        <v>May 2026</v>
      </c>
    </row>
    <row r="447" spans="1:10" x14ac:dyDescent="0.3">
      <c r="A447" t="s">
        <v>807</v>
      </c>
      <c r="B447" t="s">
        <v>564</v>
      </c>
      <c r="C447" t="s">
        <v>14</v>
      </c>
      <c r="D447" s="5">
        <v>12</v>
      </c>
      <c r="E447" t="s">
        <v>1308</v>
      </c>
      <c r="F447" t="s">
        <v>83</v>
      </c>
      <c r="G447" s="2">
        <f t="shared" si="18"/>
        <v>46108</v>
      </c>
      <c r="H447" cm="1">
        <f t="array" ref="H447">D447*_xlfn.XLOOKUP(C447,Clean_Inventry_Master!A:A,Clean_Inventry_Master!E:E,NOT FOUND,0)</f>
        <v>420</v>
      </c>
      <c r="I447" s="2">
        <f t="shared" si="19"/>
        <v>46082</v>
      </c>
      <c r="J447" t="str">
        <f t="shared" si="20"/>
        <v>Mar 2026</v>
      </c>
    </row>
    <row r="448" spans="1:10" x14ac:dyDescent="0.3">
      <c r="A448" t="s">
        <v>808</v>
      </c>
      <c r="B448" t="s">
        <v>809</v>
      </c>
      <c r="C448" t="s">
        <v>33</v>
      </c>
      <c r="D448" s="5">
        <v>8</v>
      </c>
      <c r="E448" t="s">
        <v>1308</v>
      </c>
      <c r="F448" t="s">
        <v>83</v>
      </c>
      <c r="G448" s="2">
        <f t="shared" si="18"/>
        <v>46280</v>
      </c>
      <c r="H448" cm="1">
        <f t="array" ref="H448">D448*_xlfn.XLOOKUP(C448,Clean_Inventry_Master!A:A,Clean_Inventry_Master!E:E,NOT FOUND,0)</f>
        <v>192</v>
      </c>
      <c r="I448" s="2">
        <f t="shared" si="19"/>
        <v>46266</v>
      </c>
      <c r="J448" t="str">
        <f t="shared" si="20"/>
        <v>Sep 2026</v>
      </c>
    </row>
    <row r="449" spans="1:10" x14ac:dyDescent="0.3">
      <c r="A449" t="s">
        <v>810</v>
      </c>
      <c r="B449" t="s">
        <v>222</v>
      </c>
      <c r="C449" t="s">
        <v>49</v>
      </c>
      <c r="D449" s="5">
        <v>14</v>
      </c>
      <c r="E449" t="s">
        <v>77</v>
      </c>
      <c r="F449" t="s">
        <v>92</v>
      </c>
      <c r="G449" s="2">
        <f t="shared" si="18"/>
        <v>46228</v>
      </c>
      <c r="H449" cm="1">
        <f t="array" ref="H449">D449*_xlfn.XLOOKUP(C449,Clean_Inventry_Master!A:A,Clean_Inventry_Master!E:E,NOT FOUND,0)</f>
        <v>699.86</v>
      </c>
      <c r="I449" s="2">
        <f t="shared" si="19"/>
        <v>46204</v>
      </c>
      <c r="J449" t="str">
        <f t="shared" si="20"/>
        <v>Jul 2026</v>
      </c>
    </row>
    <row r="450" spans="1:10" x14ac:dyDescent="0.3">
      <c r="A450" t="s">
        <v>811</v>
      </c>
      <c r="B450" t="s">
        <v>292</v>
      </c>
      <c r="C450" t="s">
        <v>10</v>
      </c>
      <c r="D450" s="5">
        <v>7</v>
      </c>
      <c r="E450" t="s">
        <v>91</v>
      </c>
      <c r="F450" t="s">
        <v>92</v>
      </c>
      <c r="G450" s="2">
        <f t="shared" ref="G450:G513" si="21">IF(ISNUMBER(SEARCH("-", B450)), DATEVALUE(B450), DATE(RIGHT(B450,4), LEFT(B450, FIND("/", B450)-1), MID(B450, FIND("/", B450)+1, FIND("/", B450, FIND("/", B450)+1) - FIND("/", B450) - 1)))</f>
        <v>46286</v>
      </c>
      <c r="H450" cm="1">
        <f t="array" ref="H450">D450*_xlfn.XLOOKUP(C450,Clean_Inventry_Master!A:A,Clean_Inventry_Master!E:E,NOT FOUND,0)</f>
        <v>3493</v>
      </c>
      <c r="I450" s="2">
        <f t="shared" ref="I450:I513" si="22">DATE(YEAR(G450),MONTH(G450),1)</f>
        <v>46266</v>
      </c>
      <c r="J450" t="str">
        <f t="shared" ref="J450:J513" si="23">TEXT(I450,"mmm yyyy")</f>
        <v>Sep 2026</v>
      </c>
    </row>
    <row r="451" spans="1:10" x14ac:dyDescent="0.3">
      <c r="A451" t="s">
        <v>812</v>
      </c>
      <c r="B451" t="s">
        <v>422</v>
      </c>
      <c r="C451" t="s">
        <v>20</v>
      </c>
      <c r="D451" s="5">
        <v>5</v>
      </c>
      <c r="E451" t="s">
        <v>1308</v>
      </c>
      <c r="F451" t="s">
        <v>83</v>
      </c>
      <c r="G451" s="2">
        <f t="shared" si="21"/>
        <v>46059</v>
      </c>
      <c r="H451" cm="1">
        <f t="array" ref="H451">D451*_xlfn.XLOOKUP(C451,Clean_Inventry_Master!A:A,Clean_Inventry_Master!E:E,NOT FOUND,0)</f>
        <v>399.95</v>
      </c>
      <c r="I451" s="2">
        <f t="shared" si="22"/>
        <v>46054</v>
      </c>
      <c r="J451" t="str">
        <f t="shared" si="23"/>
        <v>Feb 2026</v>
      </c>
    </row>
    <row r="452" spans="1:10" x14ac:dyDescent="0.3">
      <c r="A452" t="s">
        <v>813</v>
      </c>
      <c r="B452" t="s">
        <v>149</v>
      </c>
      <c r="C452" t="s">
        <v>24</v>
      </c>
      <c r="D452" s="5">
        <v>6</v>
      </c>
      <c r="E452" t="s">
        <v>91</v>
      </c>
      <c r="F452" t="s">
        <v>83</v>
      </c>
      <c r="G452" s="2">
        <f t="shared" si="21"/>
        <v>46179</v>
      </c>
      <c r="H452" cm="1">
        <f t="array" ref="H452">D452*_xlfn.XLOOKUP(C452,Clean_Inventry_Master!A:A,Clean_Inventry_Master!E:E,NOT FOUND,0)</f>
        <v>839.94</v>
      </c>
      <c r="I452" s="2">
        <f t="shared" si="22"/>
        <v>46174</v>
      </c>
      <c r="J452" t="str">
        <f t="shared" si="23"/>
        <v>Jun 2026</v>
      </c>
    </row>
    <row r="453" spans="1:10" x14ac:dyDescent="0.3">
      <c r="A453" t="s">
        <v>814</v>
      </c>
      <c r="B453" t="s">
        <v>815</v>
      </c>
      <c r="C453" t="s">
        <v>64</v>
      </c>
      <c r="D453" s="5">
        <v>14</v>
      </c>
      <c r="E453" t="s">
        <v>91</v>
      </c>
      <c r="F453" t="s">
        <v>78</v>
      </c>
      <c r="G453" s="2">
        <f t="shared" si="21"/>
        <v>46225</v>
      </c>
      <c r="H453" cm="1">
        <f t="array" ref="H453">D453*_xlfn.XLOOKUP(C453,Clean_Inventry_Master!A:A,Clean_Inventry_Master!E:E,NOT FOUND,0)</f>
        <v>279.85999999999996</v>
      </c>
      <c r="I453" s="2">
        <f t="shared" si="22"/>
        <v>46204</v>
      </c>
      <c r="J453" t="str">
        <f t="shared" si="23"/>
        <v>Jul 2026</v>
      </c>
    </row>
    <row r="454" spans="1:10" x14ac:dyDescent="0.3">
      <c r="A454" t="s">
        <v>816</v>
      </c>
      <c r="B454" t="s">
        <v>817</v>
      </c>
      <c r="C454" t="s">
        <v>14</v>
      </c>
      <c r="D454" s="5">
        <v>3</v>
      </c>
      <c r="E454" t="s">
        <v>82</v>
      </c>
      <c r="F454" t="s">
        <v>83</v>
      </c>
      <c r="G454" s="2">
        <f t="shared" si="21"/>
        <v>46285</v>
      </c>
      <c r="H454" cm="1">
        <f t="array" ref="H454">D454*_xlfn.XLOOKUP(C454,Clean_Inventry_Master!A:A,Clean_Inventry_Master!E:E,NOT FOUND,0)</f>
        <v>105</v>
      </c>
      <c r="I454" s="2">
        <f t="shared" si="22"/>
        <v>46266</v>
      </c>
      <c r="J454" t="str">
        <f t="shared" si="23"/>
        <v>Sep 2026</v>
      </c>
    </row>
    <row r="455" spans="1:10" x14ac:dyDescent="0.3">
      <c r="A455" t="s">
        <v>818</v>
      </c>
      <c r="B455" t="s">
        <v>819</v>
      </c>
      <c r="C455" t="s">
        <v>62</v>
      </c>
      <c r="D455" s="5">
        <v>3</v>
      </c>
      <c r="E455" t="s">
        <v>1308</v>
      </c>
      <c r="F455" t="s">
        <v>92</v>
      </c>
      <c r="G455" s="2">
        <f t="shared" si="21"/>
        <v>46184</v>
      </c>
      <c r="H455" cm="1">
        <f t="array" ref="H455">D455*_xlfn.XLOOKUP(C455,Clean_Inventry_Master!A:A,Clean_Inventry_Master!E:E,NOT FOUND,0)</f>
        <v>82.5</v>
      </c>
      <c r="I455" s="2">
        <f t="shared" si="22"/>
        <v>46174</v>
      </c>
      <c r="J455" t="str">
        <f t="shared" si="23"/>
        <v>Jun 2026</v>
      </c>
    </row>
    <row r="456" spans="1:10" x14ac:dyDescent="0.3">
      <c r="A456" t="s">
        <v>820</v>
      </c>
      <c r="B456" t="s">
        <v>821</v>
      </c>
      <c r="C456" t="s">
        <v>18</v>
      </c>
      <c r="D456" s="5">
        <v>12</v>
      </c>
      <c r="E456" t="s">
        <v>77</v>
      </c>
      <c r="F456" t="s">
        <v>92</v>
      </c>
      <c r="G456" s="2">
        <f t="shared" si="21"/>
        <v>46170</v>
      </c>
      <c r="H456" cm="1">
        <f t="array" ref="H456">D456*_xlfn.XLOOKUP(C456,Clean_Inventry_Master!A:A,Clean_Inventry_Master!E:E,NOT FOUND,0)</f>
        <v>839.87999999999988</v>
      </c>
      <c r="I456" s="2">
        <f t="shared" si="22"/>
        <v>46143</v>
      </c>
      <c r="J456" t="str">
        <f t="shared" si="23"/>
        <v>May 2026</v>
      </c>
    </row>
    <row r="457" spans="1:10" x14ac:dyDescent="0.3">
      <c r="A457" t="s">
        <v>822</v>
      </c>
      <c r="B457" t="s">
        <v>379</v>
      </c>
      <c r="C457" t="s">
        <v>28</v>
      </c>
      <c r="D457" s="5">
        <v>4</v>
      </c>
      <c r="E457" t="s">
        <v>77</v>
      </c>
      <c r="F457" t="s">
        <v>78</v>
      </c>
      <c r="G457" s="2">
        <f t="shared" si="21"/>
        <v>46035</v>
      </c>
      <c r="H457" cm="1">
        <f t="array" ref="H457">D457*_xlfn.XLOOKUP(C457,Clean_Inventry_Master!A:A,Clean_Inventry_Master!E:E,NOT FOUND,0)</f>
        <v>720</v>
      </c>
      <c r="I457" s="2">
        <f t="shared" si="22"/>
        <v>46023</v>
      </c>
      <c r="J457" t="str">
        <f t="shared" si="23"/>
        <v>Jan 2026</v>
      </c>
    </row>
    <row r="458" spans="1:10" x14ac:dyDescent="0.3">
      <c r="A458" t="s">
        <v>823</v>
      </c>
      <c r="B458" t="s">
        <v>824</v>
      </c>
      <c r="C458" t="s">
        <v>31</v>
      </c>
      <c r="D458" s="5">
        <v>10</v>
      </c>
      <c r="E458" t="s">
        <v>1308</v>
      </c>
      <c r="F458" t="s">
        <v>83</v>
      </c>
      <c r="G458" s="2">
        <f t="shared" si="21"/>
        <v>46030</v>
      </c>
      <c r="H458" cm="1">
        <f t="array" ref="H458">D458*_xlfn.XLOOKUP(C458,Clean_Inventry_Master!A:A,Clean_Inventry_Master!E:E,NOT FOUND,0)</f>
        <v>150</v>
      </c>
      <c r="I458" s="2">
        <f t="shared" si="22"/>
        <v>46023</v>
      </c>
      <c r="J458" t="str">
        <f t="shared" si="23"/>
        <v>Jan 2026</v>
      </c>
    </row>
    <row r="459" spans="1:10" x14ac:dyDescent="0.3">
      <c r="A459" t="s">
        <v>825</v>
      </c>
      <c r="B459" t="s">
        <v>783</v>
      </c>
      <c r="C459" t="s">
        <v>12</v>
      </c>
      <c r="D459" s="5">
        <v>8</v>
      </c>
      <c r="E459" t="s">
        <v>82</v>
      </c>
      <c r="F459" t="s">
        <v>78</v>
      </c>
      <c r="G459" s="2">
        <f t="shared" si="21"/>
        <v>46250</v>
      </c>
      <c r="H459" cm="1">
        <f t="array" ref="H459">D459*_xlfn.XLOOKUP(C459,Clean_Inventry_Master!A:A,Clean_Inventry_Master!E:E,NOT FOUND,0)</f>
        <v>760</v>
      </c>
      <c r="I459" s="2">
        <f t="shared" si="22"/>
        <v>46235</v>
      </c>
      <c r="J459" t="str">
        <f t="shared" si="23"/>
        <v>Aug 2026</v>
      </c>
    </row>
    <row r="460" spans="1:10" x14ac:dyDescent="0.3">
      <c r="A460" t="s">
        <v>826</v>
      </c>
      <c r="B460" t="s">
        <v>827</v>
      </c>
      <c r="C460" t="s">
        <v>39</v>
      </c>
      <c r="D460" s="5">
        <v>2</v>
      </c>
      <c r="E460" t="s">
        <v>91</v>
      </c>
      <c r="F460" t="s">
        <v>78</v>
      </c>
      <c r="G460" s="2">
        <f t="shared" si="21"/>
        <v>46177</v>
      </c>
      <c r="H460" cm="1">
        <f t="array" ref="H460">D460*_xlfn.XLOOKUP(C460,Clean_Inventry_Master!A:A,Clean_Inventry_Master!E:E,NOT FOUND,0)</f>
        <v>43.98</v>
      </c>
      <c r="I460" s="2">
        <f t="shared" si="22"/>
        <v>46174</v>
      </c>
      <c r="J460" t="str">
        <f t="shared" si="23"/>
        <v>Jun 2026</v>
      </c>
    </row>
    <row r="461" spans="1:10" x14ac:dyDescent="0.3">
      <c r="A461" t="s">
        <v>828</v>
      </c>
      <c r="B461" t="s">
        <v>821</v>
      </c>
      <c r="C461" t="s">
        <v>24</v>
      </c>
      <c r="D461" s="5">
        <v>1</v>
      </c>
      <c r="E461" t="s">
        <v>77</v>
      </c>
      <c r="F461" t="s">
        <v>78</v>
      </c>
      <c r="G461" s="2">
        <f t="shared" si="21"/>
        <v>46170</v>
      </c>
      <c r="H461" cm="1">
        <f t="array" ref="H461">D461*_xlfn.XLOOKUP(C461,Clean_Inventry_Master!A:A,Clean_Inventry_Master!E:E,NOT FOUND,0)</f>
        <v>139.99</v>
      </c>
      <c r="I461" s="2">
        <f t="shared" si="22"/>
        <v>46143</v>
      </c>
      <c r="J461" t="str">
        <f t="shared" si="23"/>
        <v>May 2026</v>
      </c>
    </row>
    <row r="462" spans="1:10" x14ac:dyDescent="0.3">
      <c r="A462" t="s">
        <v>829</v>
      </c>
      <c r="B462" t="s">
        <v>830</v>
      </c>
      <c r="C462" t="s">
        <v>14</v>
      </c>
      <c r="D462" s="5">
        <v>10</v>
      </c>
      <c r="E462" t="s">
        <v>1308</v>
      </c>
      <c r="F462" t="s">
        <v>92</v>
      </c>
      <c r="G462" s="2">
        <f t="shared" si="21"/>
        <v>46131</v>
      </c>
      <c r="H462" cm="1">
        <f t="array" ref="H462">D462*_xlfn.XLOOKUP(C462,Clean_Inventry_Master!A:A,Clean_Inventry_Master!E:E,NOT FOUND,0)</f>
        <v>350</v>
      </c>
      <c r="I462" s="2">
        <f t="shared" si="22"/>
        <v>46113</v>
      </c>
      <c r="J462" t="str">
        <f t="shared" si="23"/>
        <v>Apr 2026</v>
      </c>
    </row>
    <row r="463" spans="1:10" x14ac:dyDescent="0.3">
      <c r="A463" t="s">
        <v>832</v>
      </c>
      <c r="B463" t="s">
        <v>306</v>
      </c>
      <c r="C463" t="s">
        <v>66</v>
      </c>
      <c r="D463" s="5">
        <v>14</v>
      </c>
      <c r="E463" t="s">
        <v>82</v>
      </c>
      <c r="F463" t="s">
        <v>92</v>
      </c>
      <c r="G463" s="2">
        <f t="shared" si="21"/>
        <v>46027</v>
      </c>
      <c r="H463" cm="1">
        <f t="array" ref="H463">D463*_xlfn.XLOOKUP(C463,Clean_Inventry_Master!A:A,Clean_Inventry_Master!E:E,NOT FOUND,0)</f>
        <v>489.86</v>
      </c>
      <c r="I463" s="2">
        <f t="shared" si="22"/>
        <v>46023</v>
      </c>
      <c r="J463" t="str">
        <f t="shared" si="23"/>
        <v>Jan 2026</v>
      </c>
    </row>
    <row r="464" spans="1:10" x14ac:dyDescent="0.3">
      <c r="A464" t="s">
        <v>833</v>
      </c>
      <c r="B464" t="s">
        <v>388</v>
      </c>
      <c r="C464" t="s">
        <v>49</v>
      </c>
      <c r="D464" s="5">
        <v>6</v>
      </c>
      <c r="E464" t="s">
        <v>77</v>
      </c>
      <c r="F464" t="s">
        <v>78</v>
      </c>
      <c r="G464" s="2">
        <f t="shared" si="21"/>
        <v>46268</v>
      </c>
      <c r="H464" cm="1">
        <f t="array" ref="H464">D464*_xlfn.XLOOKUP(C464,Clean_Inventry_Master!A:A,Clean_Inventry_Master!E:E,NOT FOUND,0)</f>
        <v>299.94</v>
      </c>
      <c r="I464" s="2">
        <f t="shared" si="22"/>
        <v>46266</v>
      </c>
      <c r="J464" t="str">
        <f t="shared" si="23"/>
        <v>Sep 2026</v>
      </c>
    </row>
    <row r="465" spans="1:10" x14ac:dyDescent="0.3">
      <c r="A465" t="s">
        <v>834</v>
      </c>
      <c r="B465" t="s">
        <v>149</v>
      </c>
      <c r="C465" t="s">
        <v>10</v>
      </c>
      <c r="D465" s="5">
        <v>5</v>
      </c>
      <c r="E465" t="s">
        <v>1308</v>
      </c>
      <c r="F465" t="s">
        <v>92</v>
      </c>
      <c r="G465" s="2">
        <f t="shared" si="21"/>
        <v>46179</v>
      </c>
      <c r="H465" cm="1">
        <f t="array" ref="H465">D465*_xlfn.XLOOKUP(C465,Clean_Inventry_Master!A:A,Clean_Inventry_Master!E:E,NOT FOUND,0)</f>
        <v>2495</v>
      </c>
      <c r="I465" s="2">
        <f t="shared" si="22"/>
        <v>46174</v>
      </c>
      <c r="J465" t="str">
        <f t="shared" si="23"/>
        <v>Jun 2026</v>
      </c>
    </row>
    <row r="466" spans="1:10" x14ac:dyDescent="0.3">
      <c r="A466" t="s">
        <v>835</v>
      </c>
      <c r="B466" t="s">
        <v>526</v>
      </c>
      <c r="C466" t="s">
        <v>22</v>
      </c>
      <c r="D466" s="5">
        <v>3</v>
      </c>
      <c r="E466" t="s">
        <v>82</v>
      </c>
      <c r="F466" t="s">
        <v>78</v>
      </c>
      <c r="G466" s="2">
        <f t="shared" si="21"/>
        <v>46098</v>
      </c>
      <c r="H466" cm="1">
        <f t="array" ref="H466">D466*_xlfn.XLOOKUP(C466,Clean_Inventry_Master!A:A,Clean_Inventry_Master!E:E,NOT FOUND,0)</f>
        <v>359.96999999999997</v>
      </c>
      <c r="I466" s="2">
        <f t="shared" si="22"/>
        <v>46082</v>
      </c>
      <c r="J466" t="str">
        <f t="shared" si="23"/>
        <v>Mar 2026</v>
      </c>
    </row>
    <row r="467" spans="1:10" x14ac:dyDescent="0.3">
      <c r="A467" t="s">
        <v>836</v>
      </c>
      <c r="B467" t="s">
        <v>213</v>
      </c>
      <c r="C467" t="s">
        <v>24</v>
      </c>
      <c r="D467" s="5">
        <v>9</v>
      </c>
      <c r="E467" t="s">
        <v>82</v>
      </c>
      <c r="F467" t="s">
        <v>92</v>
      </c>
      <c r="G467" s="2">
        <f t="shared" si="21"/>
        <v>46264</v>
      </c>
      <c r="H467" cm="1">
        <f t="array" ref="H467">D467*_xlfn.XLOOKUP(C467,Clean_Inventry_Master!A:A,Clean_Inventry_Master!E:E,NOT FOUND,0)</f>
        <v>1259.9100000000001</v>
      </c>
      <c r="I467" s="2">
        <f t="shared" si="22"/>
        <v>46235</v>
      </c>
      <c r="J467" t="str">
        <f t="shared" si="23"/>
        <v>Aug 2026</v>
      </c>
    </row>
    <row r="468" spans="1:10" x14ac:dyDescent="0.3">
      <c r="A468" t="s">
        <v>837</v>
      </c>
      <c r="B468" t="s">
        <v>388</v>
      </c>
      <c r="C468" t="s">
        <v>12</v>
      </c>
      <c r="D468" s="5">
        <v>2</v>
      </c>
      <c r="E468" t="s">
        <v>1308</v>
      </c>
      <c r="F468" t="s">
        <v>92</v>
      </c>
      <c r="G468" s="2">
        <f t="shared" si="21"/>
        <v>46268</v>
      </c>
      <c r="H468" cm="1">
        <f t="array" ref="H468">D468*_xlfn.XLOOKUP(C468,Clean_Inventry_Master!A:A,Clean_Inventry_Master!E:E,NOT FOUND,0)</f>
        <v>190</v>
      </c>
      <c r="I468" s="2">
        <f t="shared" si="22"/>
        <v>46266</v>
      </c>
      <c r="J468" t="str">
        <f t="shared" si="23"/>
        <v>Sep 2026</v>
      </c>
    </row>
    <row r="469" spans="1:10" x14ac:dyDescent="0.3">
      <c r="A469" t="s">
        <v>838</v>
      </c>
      <c r="B469" t="s">
        <v>839</v>
      </c>
      <c r="C469" t="s">
        <v>24</v>
      </c>
      <c r="D469" s="5">
        <v>10</v>
      </c>
      <c r="E469" t="s">
        <v>77</v>
      </c>
      <c r="F469" t="s">
        <v>92</v>
      </c>
      <c r="G469" s="2">
        <f t="shared" si="21"/>
        <v>46053</v>
      </c>
      <c r="H469" cm="1">
        <f t="array" ref="H469">D469*_xlfn.XLOOKUP(C469,Clean_Inventry_Master!A:A,Clean_Inventry_Master!E:E,NOT FOUND,0)</f>
        <v>1399.9</v>
      </c>
      <c r="I469" s="2">
        <f t="shared" si="22"/>
        <v>46023</v>
      </c>
      <c r="J469" t="str">
        <f t="shared" si="23"/>
        <v>Jan 2026</v>
      </c>
    </row>
    <row r="470" spans="1:10" x14ac:dyDescent="0.3">
      <c r="A470" t="s">
        <v>840</v>
      </c>
      <c r="B470" t="s">
        <v>90</v>
      </c>
      <c r="C470" t="s">
        <v>10</v>
      </c>
      <c r="D470" s="5">
        <v>5</v>
      </c>
      <c r="E470" t="s">
        <v>91</v>
      </c>
      <c r="F470" t="s">
        <v>92</v>
      </c>
      <c r="G470" s="2">
        <f t="shared" si="21"/>
        <v>46253</v>
      </c>
      <c r="H470" cm="1">
        <f t="array" ref="H470">D470*_xlfn.XLOOKUP(C470,Clean_Inventry_Master!A:A,Clean_Inventry_Master!E:E,NOT FOUND,0)</f>
        <v>2495</v>
      </c>
      <c r="I470" s="2">
        <f t="shared" si="22"/>
        <v>46235</v>
      </c>
      <c r="J470" t="str">
        <f t="shared" si="23"/>
        <v>Aug 2026</v>
      </c>
    </row>
    <row r="471" spans="1:10" x14ac:dyDescent="0.3">
      <c r="A471" t="s">
        <v>841</v>
      </c>
      <c r="B471" t="s">
        <v>134</v>
      </c>
      <c r="C471" t="s">
        <v>10</v>
      </c>
      <c r="D471" s="5">
        <v>14</v>
      </c>
      <c r="E471" t="s">
        <v>1308</v>
      </c>
      <c r="F471" t="s">
        <v>78</v>
      </c>
      <c r="G471" s="2">
        <f t="shared" si="21"/>
        <v>46271</v>
      </c>
      <c r="H471" cm="1">
        <f t="array" ref="H471">D471*_xlfn.XLOOKUP(C471,Clean_Inventry_Master!A:A,Clean_Inventry_Master!E:E,NOT FOUND,0)</f>
        <v>6986</v>
      </c>
      <c r="I471" s="2">
        <f t="shared" si="22"/>
        <v>46266</v>
      </c>
      <c r="J471" t="str">
        <f t="shared" si="23"/>
        <v>Sep 2026</v>
      </c>
    </row>
    <row r="472" spans="1:10" x14ac:dyDescent="0.3">
      <c r="A472" t="s">
        <v>842</v>
      </c>
      <c r="B472" t="s">
        <v>843</v>
      </c>
      <c r="C472" t="s">
        <v>26</v>
      </c>
      <c r="D472" s="5">
        <v>14</v>
      </c>
      <c r="E472" t="s">
        <v>82</v>
      </c>
      <c r="F472" t="s">
        <v>92</v>
      </c>
      <c r="G472" s="2">
        <f t="shared" si="21"/>
        <v>46298</v>
      </c>
      <c r="H472" cm="1">
        <f t="array" ref="H472">D472*_xlfn.XLOOKUP(C472,Clean_Inventry_Master!A:A,Clean_Inventry_Master!E:E,NOT FOUND,0)</f>
        <v>1259.8599999999999</v>
      </c>
      <c r="I472" s="2">
        <f t="shared" si="22"/>
        <v>46296</v>
      </c>
      <c r="J472" t="str">
        <f t="shared" si="23"/>
        <v>Oct 2026</v>
      </c>
    </row>
    <row r="473" spans="1:10" x14ac:dyDescent="0.3">
      <c r="A473" t="s">
        <v>844</v>
      </c>
      <c r="B473" t="s">
        <v>735</v>
      </c>
      <c r="C473" t="s">
        <v>14</v>
      </c>
      <c r="D473" s="5">
        <v>11</v>
      </c>
      <c r="E473" t="s">
        <v>77</v>
      </c>
      <c r="F473" t="s">
        <v>92</v>
      </c>
      <c r="G473" s="2">
        <f t="shared" si="21"/>
        <v>46071</v>
      </c>
      <c r="H473" cm="1">
        <f t="array" ref="H473">D473*_xlfn.XLOOKUP(C473,Clean_Inventry_Master!A:A,Clean_Inventry_Master!E:E,NOT FOUND,0)</f>
        <v>385</v>
      </c>
      <c r="I473" s="2">
        <f t="shared" si="22"/>
        <v>46054</v>
      </c>
      <c r="J473" t="str">
        <f t="shared" si="23"/>
        <v>Feb 2026</v>
      </c>
    </row>
    <row r="474" spans="1:10" x14ac:dyDescent="0.3">
      <c r="A474" t="s">
        <v>845</v>
      </c>
      <c r="B474" t="s">
        <v>846</v>
      </c>
      <c r="C474" t="s">
        <v>24</v>
      </c>
      <c r="D474" s="5">
        <v>1</v>
      </c>
      <c r="E474" t="s">
        <v>82</v>
      </c>
      <c r="F474" t="s">
        <v>78</v>
      </c>
      <c r="G474" s="2">
        <f t="shared" si="21"/>
        <v>46100</v>
      </c>
      <c r="H474" cm="1">
        <f t="array" ref="H474">D474*_xlfn.XLOOKUP(C474,Clean_Inventry_Master!A:A,Clean_Inventry_Master!E:E,NOT FOUND,0)</f>
        <v>139.99</v>
      </c>
      <c r="I474" s="2">
        <f t="shared" si="22"/>
        <v>46082</v>
      </c>
      <c r="J474" t="str">
        <f t="shared" si="23"/>
        <v>Mar 2026</v>
      </c>
    </row>
    <row r="475" spans="1:10" x14ac:dyDescent="0.3">
      <c r="A475" t="s">
        <v>847</v>
      </c>
      <c r="B475" t="s">
        <v>444</v>
      </c>
      <c r="C475" t="s">
        <v>47</v>
      </c>
      <c r="D475" s="5">
        <v>1</v>
      </c>
      <c r="E475" t="s">
        <v>1308</v>
      </c>
      <c r="F475" t="s">
        <v>83</v>
      </c>
      <c r="G475" s="2">
        <f t="shared" si="21"/>
        <v>46201</v>
      </c>
      <c r="H475" cm="1">
        <f t="array" ref="H475">D475*_xlfn.XLOOKUP(C475,Clean_Inventry_Master!A:A,Clean_Inventry_Master!E:E,NOT FOUND,0)</f>
        <v>129.99</v>
      </c>
      <c r="I475" s="2">
        <f t="shared" si="22"/>
        <v>46174</v>
      </c>
      <c r="J475" t="str">
        <f t="shared" si="23"/>
        <v>Jun 2026</v>
      </c>
    </row>
    <row r="476" spans="1:10" x14ac:dyDescent="0.3">
      <c r="A476" t="s">
        <v>848</v>
      </c>
      <c r="B476" t="s">
        <v>849</v>
      </c>
      <c r="C476" t="s">
        <v>35</v>
      </c>
      <c r="D476" s="5">
        <v>8</v>
      </c>
      <c r="E476" t="s">
        <v>82</v>
      </c>
      <c r="F476" t="s">
        <v>83</v>
      </c>
      <c r="G476" s="2">
        <f t="shared" si="21"/>
        <v>46185</v>
      </c>
      <c r="H476" cm="1">
        <f t="array" ref="H476">D476*_xlfn.XLOOKUP(C476,Clean_Inventry_Master!A:A,Clean_Inventry_Master!E:E,NOT FOUND,0)</f>
        <v>79.92</v>
      </c>
      <c r="I476" s="2">
        <f t="shared" si="22"/>
        <v>46174</v>
      </c>
      <c r="J476" t="str">
        <f t="shared" si="23"/>
        <v>Jun 2026</v>
      </c>
    </row>
    <row r="477" spans="1:10" x14ac:dyDescent="0.3">
      <c r="A477" t="s">
        <v>850</v>
      </c>
      <c r="B477" t="s">
        <v>448</v>
      </c>
      <c r="C477" t="s">
        <v>43</v>
      </c>
      <c r="D477" s="5">
        <v>1</v>
      </c>
      <c r="E477" t="s">
        <v>1308</v>
      </c>
      <c r="F477" t="s">
        <v>78</v>
      </c>
      <c r="G477" s="2">
        <f t="shared" si="21"/>
        <v>46191</v>
      </c>
      <c r="H477" cm="1">
        <f t="array" ref="H477">D477*_xlfn.XLOOKUP(C477,Clean_Inventry_Master!A:A,Clean_Inventry_Master!E:E,NOT FOUND,0)</f>
        <v>8.5</v>
      </c>
      <c r="I477" s="2">
        <f t="shared" si="22"/>
        <v>46174</v>
      </c>
      <c r="J477" t="str">
        <f t="shared" si="23"/>
        <v>Jun 2026</v>
      </c>
    </row>
    <row r="478" spans="1:10" x14ac:dyDescent="0.3">
      <c r="A478" t="s">
        <v>851</v>
      </c>
      <c r="B478" t="s">
        <v>852</v>
      </c>
      <c r="C478" t="s">
        <v>49</v>
      </c>
      <c r="D478" s="5">
        <v>8</v>
      </c>
      <c r="E478" t="s">
        <v>77</v>
      </c>
      <c r="F478" t="s">
        <v>78</v>
      </c>
      <c r="G478" s="2">
        <f t="shared" si="21"/>
        <v>46284</v>
      </c>
      <c r="H478" cm="1">
        <f t="array" ref="H478">D478*_xlfn.XLOOKUP(C478,Clean_Inventry_Master!A:A,Clean_Inventry_Master!E:E,NOT FOUND,0)</f>
        <v>399.92</v>
      </c>
      <c r="I478" s="2">
        <f t="shared" si="22"/>
        <v>46266</v>
      </c>
      <c r="J478" t="str">
        <f t="shared" si="23"/>
        <v>Sep 2026</v>
      </c>
    </row>
    <row r="479" spans="1:10" x14ac:dyDescent="0.3">
      <c r="A479" t="s">
        <v>853</v>
      </c>
      <c r="B479" t="s">
        <v>234</v>
      </c>
      <c r="C479" t="s">
        <v>41</v>
      </c>
      <c r="D479" s="5">
        <v>13</v>
      </c>
      <c r="E479" t="s">
        <v>1308</v>
      </c>
      <c r="F479" t="s">
        <v>92</v>
      </c>
      <c r="G479" s="2">
        <f t="shared" si="21"/>
        <v>46054</v>
      </c>
      <c r="H479" cm="1">
        <f t="array" ref="H479">D479*_xlfn.XLOOKUP(C479,Clean_Inventry_Master!A:A,Clean_Inventry_Master!E:E,NOT FOUND,0)</f>
        <v>519.87</v>
      </c>
      <c r="I479" s="2">
        <f t="shared" si="22"/>
        <v>46054</v>
      </c>
      <c r="J479" t="str">
        <f t="shared" si="23"/>
        <v>Feb 2026</v>
      </c>
    </row>
    <row r="480" spans="1:10" x14ac:dyDescent="0.3">
      <c r="A480" t="s">
        <v>854</v>
      </c>
      <c r="B480" t="s">
        <v>338</v>
      </c>
      <c r="C480" t="s">
        <v>31</v>
      </c>
      <c r="D480" s="5">
        <v>2</v>
      </c>
      <c r="E480" t="s">
        <v>1308</v>
      </c>
      <c r="F480" t="s">
        <v>83</v>
      </c>
      <c r="G480" s="2">
        <f t="shared" si="21"/>
        <v>46093</v>
      </c>
      <c r="H480" cm="1">
        <f t="array" ref="H480">D480*_xlfn.XLOOKUP(C480,Clean_Inventry_Master!A:A,Clean_Inventry_Master!E:E,NOT FOUND,0)</f>
        <v>30</v>
      </c>
      <c r="I480" s="2">
        <f t="shared" si="22"/>
        <v>46082</v>
      </c>
      <c r="J480" t="str">
        <f t="shared" si="23"/>
        <v>Mar 2026</v>
      </c>
    </row>
    <row r="481" spans="1:10" x14ac:dyDescent="0.3">
      <c r="A481" t="s">
        <v>855</v>
      </c>
      <c r="B481" t="s">
        <v>720</v>
      </c>
      <c r="C481" t="s">
        <v>22</v>
      </c>
      <c r="D481" s="5">
        <v>2</v>
      </c>
      <c r="E481" t="s">
        <v>1308</v>
      </c>
      <c r="F481" t="s">
        <v>92</v>
      </c>
      <c r="G481" s="2">
        <f t="shared" si="21"/>
        <v>46043</v>
      </c>
      <c r="H481" cm="1">
        <f t="array" ref="H481">D481*_xlfn.XLOOKUP(C481,Clean_Inventry_Master!A:A,Clean_Inventry_Master!E:E,NOT FOUND,0)</f>
        <v>239.98</v>
      </c>
      <c r="I481" s="2">
        <f t="shared" si="22"/>
        <v>46023</v>
      </c>
      <c r="J481" t="str">
        <f t="shared" si="23"/>
        <v>Jan 2026</v>
      </c>
    </row>
    <row r="482" spans="1:10" x14ac:dyDescent="0.3">
      <c r="A482" t="s">
        <v>856</v>
      </c>
      <c r="B482" t="s">
        <v>542</v>
      </c>
      <c r="C482" t="s">
        <v>16</v>
      </c>
      <c r="D482" s="5">
        <v>12</v>
      </c>
      <c r="E482" t="s">
        <v>91</v>
      </c>
      <c r="F482" t="s">
        <v>83</v>
      </c>
      <c r="G482" s="2">
        <f t="shared" si="21"/>
        <v>46232</v>
      </c>
      <c r="H482" cm="1">
        <f t="array" ref="H482">D482*_xlfn.XLOOKUP(C482,Clean_Inventry_Master!A:A,Clean_Inventry_Master!E:E,NOT FOUND,0)</f>
        <v>2748</v>
      </c>
      <c r="I482" s="2">
        <f t="shared" si="22"/>
        <v>46204</v>
      </c>
      <c r="J482" t="str">
        <f t="shared" si="23"/>
        <v>Jul 2026</v>
      </c>
    </row>
    <row r="483" spans="1:10" x14ac:dyDescent="0.3">
      <c r="A483" t="s">
        <v>857</v>
      </c>
      <c r="B483" t="s">
        <v>286</v>
      </c>
      <c r="C483" t="s">
        <v>28</v>
      </c>
      <c r="D483" s="5">
        <v>13</v>
      </c>
      <c r="E483" t="s">
        <v>1308</v>
      </c>
      <c r="F483" t="s">
        <v>78</v>
      </c>
      <c r="G483" s="2">
        <f t="shared" si="21"/>
        <v>46230</v>
      </c>
      <c r="H483" cm="1">
        <f t="array" ref="H483">D483*_xlfn.XLOOKUP(C483,Clean_Inventry_Master!A:A,Clean_Inventry_Master!E:E,NOT FOUND,0)</f>
        <v>2340</v>
      </c>
      <c r="I483" s="2">
        <f t="shared" si="22"/>
        <v>46204</v>
      </c>
      <c r="J483" t="str">
        <f t="shared" si="23"/>
        <v>Jul 2026</v>
      </c>
    </row>
    <row r="484" spans="1:10" x14ac:dyDescent="0.3">
      <c r="A484" t="s">
        <v>858</v>
      </c>
      <c r="B484" t="s">
        <v>859</v>
      </c>
      <c r="C484" t="s">
        <v>26</v>
      </c>
      <c r="D484" s="5">
        <v>4</v>
      </c>
      <c r="E484" t="s">
        <v>77</v>
      </c>
      <c r="F484" t="s">
        <v>83</v>
      </c>
      <c r="G484" s="2">
        <f t="shared" si="21"/>
        <v>46293</v>
      </c>
      <c r="H484" cm="1">
        <f t="array" ref="H484">D484*_xlfn.XLOOKUP(C484,Clean_Inventry_Master!A:A,Clean_Inventry_Master!E:E,NOT FOUND,0)</f>
        <v>359.96</v>
      </c>
      <c r="I484" s="2">
        <f t="shared" si="22"/>
        <v>46266</v>
      </c>
      <c r="J484" t="str">
        <f t="shared" si="23"/>
        <v>Sep 2026</v>
      </c>
    </row>
    <row r="485" spans="1:10" x14ac:dyDescent="0.3">
      <c r="A485" t="s">
        <v>860</v>
      </c>
      <c r="B485" t="s">
        <v>436</v>
      </c>
      <c r="C485" t="s">
        <v>66</v>
      </c>
      <c r="D485" s="5">
        <v>9</v>
      </c>
      <c r="E485" t="s">
        <v>82</v>
      </c>
      <c r="F485" t="s">
        <v>78</v>
      </c>
      <c r="G485" s="2">
        <f t="shared" si="21"/>
        <v>46263</v>
      </c>
      <c r="H485" cm="1">
        <f t="array" ref="H485">D485*_xlfn.XLOOKUP(C485,Clean_Inventry_Master!A:A,Clean_Inventry_Master!E:E,NOT FOUND,0)</f>
        <v>314.91000000000003</v>
      </c>
      <c r="I485" s="2">
        <f t="shared" si="22"/>
        <v>46235</v>
      </c>
      <c r="J485" t="str">
        <f t="shared" si="23"/>
        <v>Aug 2026</v>
      </c>
    </row>
    <row r="486" spans="1:10" x14ac:dyDescent="0.3">
      <c r="A486" t="s">
        <v>861</v>
      </c>
      <c r="B486" t="s">
        <v>862</v>
      </c>
      <c r="C486" t="s">
        <v>16</v>
      </c>
      <c r="D486" s="5">
        <v>9</v>
      </c>
      <c r="E486" t="s">
        <v>82</v>
      </c>
      <c r="F486" t="s">
        <v>83</v>
      </c>
      <c r="G486" s="2">
        <f t="shared" si="21"/>
        <v>46068</v>
      </c>
      <c r="H486" cm="1">
        <f t="array" ref="H486">D486*_xlfn.XLOOKUP(C486,Clean_Inventry_Master!A:A,Clean_Inventry_Master!E:E,NOT FOUND,0)</f>
        <v>2061</v>
      </c>
      <c r="I486" s="2">
        <f t="shared" si="22"/>
        <v>46054</v>
      </c>
      <c r="J486" t="str">
        <f t="shared" si="23"/>
        <v>Feb 2026</v>
      </c>
    </row>
    <row r="487" spans="1:10" x14ac:dyDescent="0.3">
      <c r="A487" t="s">
        <v>863</v>
      </c>
      <c r="B487" t="s">
        <v>864</v>
      </c>
      <c r="C487" t="s">
        <v>66</v>
      </c>
      <c r="D487" s="5">
        <v>1</v>
      </c>
      <c r="E487" t="s">
        <v>82</v>
      </c>
      <c r="F487" t="s">
        <v>83</v>
      </c>
      <c r="G487" s="2">
        <f t="shared" si="21"/>
        <v>46260</v>
      </c>
      <c r="H487" cm="1">
        <f t="array" ref="H487">D487*_xlfn.XLOOKUP(C487,Clean_Inventry_Master!A:A,Clean_Inventry_Master!E:E,NOT FOUND,0)</f>
        <v>34.99</v>
      </c>
      <c r="I487" s="2">
        <f t="shared" si="22"/>
        <v>46235</v>
      </c>
      <c r="J487" t="str">
        <f t="shared" si="23"/>
        <v>Aug 2026</v>
      </c>
    </row>
    <row r="488" spans="1:10" x14ac:dyDescent="0.3">
      <c r="A488" t="s">
        <v>865</v>
      </c>
      <c r="B488" t="s">
        <v>162</v>
      </c>
      <c r="C488" t="s">
        <v>54</v>
      </c>
      <c r="D488" s="5">
        <v>5</v>
      </c>
      <c r="E488" t="s">
        <v>82</v>
      </c>
      <c r="F488" t="s">
        <v>78</v>
      </c>
      <c r="G488" s="2">
        <f t="shared" si="21"/>
        <v>46036</v>
      </c>
      <c r="H488" cm="1">
        <f t="array" ref="H488">D488*_xlfn.XLOOKUP(C488,Clean_Inventry_Master!A:A,Clean_Inventry_Master!E:E,NOT FOUND,0)</f>
        <v>1749.95</v>
      </c>
      <c r="I488" s="2">
        <f t="shared" si="22"/>
        <v>46023</v>
      </c>
      <c r="J488" t="str">
        <f t="shared" si="23"/>
        <v>Jan 2026</v>
      </c>
    </row>
    <row r="489" spans="1:10" x14ac:dyDescent="0.3">
      <c r="A489" t="s">
        <v>867</v>
      </c>
      <c r="B489" t="s">
        <v>868</v>
      </c>
      <c r="C489" t="s">
        <v>45</v>
      </c>
      <c r="D489" s="5">
        <v>3</v>
      </c>
      <c r="E489" t="s">
        <v>82</v>
      </c>
      <c r="F489" t="s">
        <v>83</v>
      </c>
      <c r="G489" s="2">
        <f t="shared" si="21"/>
        <v>46135</v>
      </c>
      <c r="H489" cm="1">
        <f t="array" ref="H489">D489*_xlfn.XLOOKUP(C489,Clean_Inventry_Master!A:A,Clean_Inventry_Master!E:E,NOT FOUND,0)</f>
        <v>56.97</v>
      </c>
      <c r="I489" s="2">
        <f t="shared" si="22"/>
        <v>46113</v>
      </c>
      <c r="J489" t="str">
        <f t="shared" si="23"/>
        <v>Apr 2026</v>
      </c>
    </row>
    <row r="490" spans="1:10" x14ac:dyDescent="0.3">
      <c r="A490" t="s">
        <v>869</v>
      </c>
      <c r="B490" t="s">
        <v>220</v>
      </c>
      <c r="C490" t="s">
        <v>39</v>
      </c>
      <c r="D490" s="5">
        <v>2</v>
      </c>
      <c r="E490" t="s">
        <v>77</v>
      </c>
      <c r="F490" t="s">
        <v>78</v>
      </c>
      <c r="G490" s="2">
        <f t="shared" si="21"/>
        <v>46202</v>
      </c>
      <c r="H490" cm="1">
        <f t="array" ref="H490">D490*_xlfn.XLOOKUP(C490,Clean_Inventry_Master!A:A,Clean_Inventry_Master!E:E,NOT FOUND,0)</f>
        <v>43.98</v>
      </c>
      <c r="I490" s="2">
        <f t="shared" si="22"/>
        <v>46174</v>
      </c>
      <c r="J490" t="str">
        <f t="shared" si="23"/>
        <v>Jun 2026</v>
      </c>
    </row>
    <row r="491" spans="1:10" x14ac:dyDescent="0.3">
      <c r="A491" t="s">
        <v>870</v>
      </c>
      <c r="B491" t="s">
        <v>800</v>
      </c>
      <c r="C491" t="s">
        <v>16</v>
      </c>
      <c r="D491" s="5">
        <v>11</v>
      </c>
      <c r="E491" t="s">
        <v>91</v>
      </c>
      <c r="F491" t="s">
        <v>78</v>
      </c>
      <c r="G491" s="2">
        <f t="shared" si="21"/>
        <v>46218</v>
      </c>
      <c r="H491" cm="1">
        <f t="array" ref="H491">D491*_xlfn.XLOOKUP(C491,Clean_Inventry_Master!A:A,Clean_Inventry_Master!E:E,NOT FOUND,0)</f>
        <v>2519</v>
      </c>
      <c r="I491" s="2">
        <f t="shared" si="22"/>
        <v>46204</v>
      </c>
      <c r="J491" t="str">
        <f t="shared" si="23"/>
        <v>Jul 2026</v>
      </c>
    </row>
    <row r="492" spans="1:10" x14ac:dyDescent="0.3">
      <c r="A492" t="s">
        <v>872</v>
      </c>
      <c r="B492" t="s">
        <v>873</v>
      </c>
      <c r="C492" t="s">
        <v>58</v>
      </c>
      <c r="D492" s="5">
        <v>11</v>
      </c>
      <c r="E492" t="s">
        <v>1308</v>
      </c>
      <c r="F492" t="s">
        <v>83</v>
      </c>
      <c r="G492" s="2">
        <f t="shared" si="21"/>
        <v>46056</v>
      </c>
      <c r="H492" cm="1">
        <f t="array" ref="H492">D492*_xlfn.XLOOKUP(C492,Clean_Inventry_Master!A:A,Clean_Inventry_Master!E:E,NOT FOUND,0)</f>
        <v>659.89</v>
      </c>
      <c r="I492" s="2">
        <f t="shared" si="22"/>
        <v>46054</v>
      </c>
      <c r="J492" t="str">
        <f t="shared" si="23"/>
        <v>Feb 2026</v>
      </c>
    </row>
    <row r="493" spans="1:10" x14ac:dyDescent="0.3">
      <c r="A493" t="s">
        <v>874</v>
      </c>
      <c r="B493" t="s">
        <v>800</v>
      </c>
      <c r="C493" t="s">
        <v>49</v>
      </c>
      <c r="D493" s="5">
        <v>7</v>
      </c>
      <c r="E493" t="s">
        <v>77</v>
      </c>
      <c r="F493" t="s">
        <v>92</v>
      </c>
      <c r="G493" s="2">
        <f t="shared" si="21"/>
        <v>46218</v>
      </c>
      <c r="H493" cm="1">
        <f t="array" ref="H493">D493*_xlfn.XLOOKUP(C493,Clean_Inventry_Master!A:A,Clean_Inventry_Master!E:E,NOT FOUND,0)</f>
        <v>349.93</v>
      </c>
      <c r="I493" s="2">
        <f t="shared" si="22"/>
        <v>46204</v>
      </c>
      <c r="J493" t="str">
        <f t="shared" si="23"/>
        <v>Jul 2026</v>
      </c>
    </row>
    <row r="494" spans="1:10" x14ac:dyDescent="0.3">
      <c r="A494" t="s">
        <v>875</v>
      </c>
      <c r="B494" t="s">
        <v>876</v>
      </c>
      <c r="C494" t="s">
        <v>31</v>
      </c>
      <c r="D494" s="5">
        <v>3</v>
      </c>
      <c r="E494" t="s">
        <v>1308</v>
      </c>
      <c r="F494" t="s">
        <v>83</v>
      </c>
      <c r="G494" s="2">
        <f t="shared" si="21"/>
        <v>46291</v>
      </c>
      <c r="H494" cm="1">
        <f t="array" ref="H494">D494*_xlfn.XLOOKUP(C494,Clean_Inventry_Master!A:A,Clean_Inventry_Master!E:E,NOT FOUND,0)</f>
        <v>45</v>
      </c>
      <c r="I494" s="2">
        <f t="shared" si="22"/>
        <v>46266</v>
      </c>
      <c r="J494" t="str">
        <f t="shared" si="23"/>
        <v>Sep 2026</v>
      </c>
    </row>
    <row r="495" spans="1:10" x14ac:dyDescent="0.3">
      <c r="A495" t="s">
        <v>877</v>
      </c>
      <c r="B495" t="s">
        <v>750</v>
      </c>
      <c r="C495" t="s">
        <v>68</v>
      </c>
      <c r="D495" s="5">
        <v>1</v>
      </c>
      <c r="E495" t="s">
        <v>91</v>
      </c>
      <c r="F495" t="s">
        <v>83</v>
      </c>
      <c r="G495" s="2">
        <f t="shared" si="21"/>
        <v>46143</v>
      </c>
      <c r="H495" cm="1">
        <f t="array" ref="H495">D495*_xlfn.XLOOKUP(C495,Clean_Inventry_Master!A:A,Clean_Inventry_Master!E:E,NOT FOUND,0)</f>
        <v>42.5</v>
      </c>
      <c r="I495" s="2">
        <f t="shared" si="22"/>
        <v>46143</v>
      </c>
      <c r="J495" t="str">
        <f t="shared" si="23"/>
        <v>May 2026</v>
      </c>
    </row>
    <row r="496" spans="1:10" x14ac:dyDescent="0.3">
      <c r="A496" t="s">
        <v>878</v>
      </c>
      <c r="B496" t="s">
        <v>879</v>
      </c>
      <c r="C496" t="s">
        <v>22</v>
      </c>
      <c r="D496" s="5">
        <v>7</v>
      </c>
      <c r="E496" t="s">
        <v>91</v>
      </c>
      <c r="F496" t="s">
        <v>92</v>
      </c>
      <c r="G496" s="2">
        <f t="shared" si="21"/>
        <v>46301</v>
      </c>
      <c r="H496" cm="1">
        <f t="array" ref="H496">D496*_xlfn.XLOOKUP(C496,Clean_Inventry_Master!A:A,Clean_Inventry_Master!E:E,NOT FOUND,0)</f>
        <v>839.93</v>
      </c>
      <c r="I496" s="2">
        <f t="shared" si="22"/>
        <v>46296</v>
      </c>
      <c r="J496" t="str">
        <f t="shared" si="23"/>
        <v>Oct 2026</v>
      </c>
    </row>
    <row r="497" spans="1:10" x14ac:dyDescent="0.3">
      <c r="A497" t="s">
        <v>880</v>
      </c>
      <c r="B497" t="s">
        <v>748</v>
      </c>
      <c r="C497" t="s">
        <v>41</v>
      </c>
      <c r="D497" s="5">
        <v>14</v>
      </c>
      <c r="E497" t="s">
        <v>1308</v>
      </c>
      <c r="F497" t="s">
        <v>83</v>
      </c>
      <c r="G497" s="2">
        <f t="shared" si="21"/>
        <v>46171</v>
      </c>
      <c r="H497" cm="1">
        <f t="array" ref="H497">D497*_xlfn.XLOOKUP(C497,Clean_Inventry_Master!A:A,Clean_Inventry_Master!E:E,NOT FOUND,0)</f>
        <v>559.86</v>
      </c>
      <c r="I497" s="2">
        <f t="shared" si="22"/>
        <v>46143</v>
      </c>
      <c r="J497" t="str">
        <f t="shared" si="23"/>
        <v>May 2026</v>
      </c>
    </row>
    <row r="498" spans="1:10" x14ac:dyDescent="0.3">
      <c r="A498" t="s">
        <v>881</v>
      </c>
      <c r="B498" t="s">
        <v>173</v>
      </c>
      <c r="C498" t="s">
        <v>58</v>
      </c>
      <c r="D498" s="5">
        <v>13</v>
      </c>
      <c r="E498" t="s">
        <v>77</v>
      </c>
      <c r="F498" t="s">
        <v>83</v>
      </c>
      <c r="G498" s="2">
        <f t="shared" si="21"/>
        <v>46130</v>
      </c>
      <c r="H498" cm="1">
        <f t="array" ref="H498">D498*_xlfn.XLOOKUP(C498,Clean_Inventry_Master!A:A,Clean_Inventry_Master!E:E,NOT FOUND,0)</f>
        <v>779.87</v>
      </c>
      <c r="I498" s="2">
        <f t="shared" si="22"/>
        <v>46113</v>
      </c>
      <c r="J498" t="str">
        <f t="shared" si="23"/>
        <v>Apr 2026</v>
      </c>
    </row>
    <row r="499" spans="1:10" x14ac:dyDescent="0.3">
      <c r="A499" t="s">
        <v>882</v>
      </c>
      <c r="B499" t="s">
        <v>347</v>
      </c>
      <c r="C499" t="s">
        <v>26</v>
      </c>
      <c r="D499" s="5">
        <v>7</v>
      </c>
      <c r="E499" t="s">
        <v>91</v>
      </c>
      <c r="F499" t="s">
        <v>78</v>
      </c>
      <c r="G499" s="2">
        <f t="shared" si="21"/>
        <v>46113</v>
      </c>
      <c r="H499" cm="1">
        <f t="array" ref="H499">D499*_xlfn.XLOOKUP(C499,Clean_Inventry_Master!A:A,Clean_Inventry_Master!E:E,NOT FOUND,0)</f>
        <v>629.92999999999995</v>
      </c>
      <c r="I499" s="2">
        <f t="shared" si="22"/>
        <v>46113</v>
      </c>
      <c r="J499" t="str">
        <f t="shared" si="23"/>
        <v>Apr 2026</v>
      </c>
    </row>
    <row r="500" spans="1:10" x14ac:dyDescent="0.3">
      <c r="A500" t="s">
        <v>883</v>
      </c>
      <c r="B500" t="s">
        <v>458</v>
      </c>
      <c r="C500" t="s">
        <v>20</v>
      </c>
      <c r="D500" s="5">
        <v>7</v>
      </c>
      <c r="E500" t="s">
        <v>1308</v>
      </c>
      <c r="F500" t="s">
        <v>78</v>
      </c>
      <c r="G500" s="2">
        <f t="shared" si="21"/>
        <v>46214</v>
      </c>
      <c r="H500" cm="1">
        <f t="array" ref="H500">D500*_xlfn.XLOOKUP(C500,Clean_Inventry_Master!A:A,Clean_Inventry_Master!E:E,NOT FOUND,0)</f>
        <v>559.92999999999995</v>
      </c>
      <c r="I500" s="2">
        <f t="shared" si="22"/>
        <v>46204</v>
      </c>
      <c r="J500" t="str">
        <f t="shared" si="23"/>
        <v>Jul 2026</v>
      </c>
    </row>
    <row r="501" spans="1:10" x14ac:dyDescent="0.3">
      <c r="A501" t="s">
        <v>884</v>
      </c>
      <c r="B501" t="s">
        <v>885</v>
      </c>
      <c r="C501" t="s">
        <v>47</v>
      </c>
      <c r="D501" s="5">
        <v>1</v>
      </c>
      <c r="E501" t="s">
        <v>1308</v>
      </c>
      <c r="F501" t="s">
        <v>83</v>
      </c>
      <c r="G501" s="2">
        <f t="shared" si="21"/>
        <v>46029</v>
      </c>
      <c r="H501" cm="1">
        <f t="array" ref="H501">D501*_xlfn.XLOOKUP(C501,Clean_Inventry_Master!A:A,Clean_Inventry_Master!E:E,NOT FOUND,0)</f>
        <v>129.99</v>
      </c>
      <c r="I501" s="2">
        <f t="shared" si="22"/>
        <v>46023</v>
      </c>
      <c r="J501" t="str">
        <f t="shared" si="23"/>
        <v>Jan 2026</v>
      </c>
    </row>
    <row r="502" spans="1:10" x14ac:dyDescent="0.3">
      <c r="A502" t="s">
        <v>886</v>
      </c>
      <c r="B502" t="s">
        <v>595</v>
      </c>
      <c r="C502" t="s">
        <v>14</v>
      </c>
      <c r="D502" s="5">
        <v>1</v>
      </c>
      <c r="E502" t="s">
        <v>82</v>
      </c>
      <c r="F502" t="s">
        <v>78</v>
      </c>
      <c r="G502" s="2">
        <f t="shared" si="21"/>
        <v>46229</v>
      </c>
      <c r="H502" cm="1">
        <f t="array" ref="H502">D502*_xlfn.XLOOKUP(C502,Clean_Inventry_Master!A:A,Clean_Inventry_Master!E:E,NOT FOUND,0)</f>
        <v>35</v>
      </c>
      <c r="I502" s="2">
        <f t="shared" si="22"/>
        <v>46204</v>
      </c>
      <c r="J502" t="str">
        <f t="shared" si="23"/>
        <v>Jul 2026</v>
      </c>
    </row>
    <row r="503" spans="1:10" x14ac:dyDescent="0.3">
      <c r="A503" t="s">
        <v>887</v>
      </c>
      <c r="B503" t="s">
        <v>772</v>
      </c>
      <c r="C503" t="s">
        <v>66</v>
      </c>
      <c r="D503" s="5">
        <v>14</v>
      </c>
      <c r="E503" t="s">
        <v>77</v>
      </c>
      <c r="F503" t="s">
        <v>83</v>
      </c>
      <c r="G503" s="2">
        <f t="shared" si="21"/>
        <v>46059</v>
      </c>
      <c r="H503" cm="1">
        <f t="array" ref="H503">D503*_xlfn.XLOOKUP(C503,Clean_Inventry_Master!A:A,Clean_Inventry_Master!E:E,NOT FOUND,0)</f>
        <v>489.86</v>
      </c>
      <c r="I503" s="2">
        <f t="shared" si="22"/>
        <v>46054</v>
      </c>
      <c r="J503" t="str">
        <f t="shared" si="23"/>
        <v>Feb 2026</v>
      </c>
    </row>
    <row r="504" spans="1:10" x14ac:dyDescent="0.3">
      <c r="A504" t="s">
        <v>888</v>
      </c>
      <c r="B504" t="s">
        <v>536</v>
      </c>
      <c r="C504" t="s">
        <v>22</v>
      </c>
      <c r="D504" s="5">
        <v>13</v>
      </c>
      <c r="E504" t="s">
        <v>82</v>
      </c>
      <c r="F504" t="s">
        <v>83</v>
      </c>
      <c r="G504" s="2">
        <f t="shared" si="21"/>
        <v>46188</v>
      </c>
      <c r="H504" cm="1">
        <f t="array" ref="H504">D504*_xlfn.XLOOKUP(C504,Clean_Inventry_Master!A:A,Clean_Inventry_Master!E:E,NOT FOUND,0)</f>
        <v>1559.87</v>
      </c>
      <c r="I504" s="2">
        <f t="shared" si="22"/>
        <v>46174</v>
      </c>
      <c r="J504" t="str">
        <f t="shared" si="23"/>
        <v>Jun 2026</v>
      </c>
    </row>
    <row r="505" spans="1:10" x14ac:dyDescent="0.3">
      <c r="A505" t="s">
        <v>889</v>
      </c>
      <c r="B505" t="s">
        <v>431</v>
      </c>
      <c r="C505" t="s">
        <v>31</v>
      </c>
      <c r="D505" s="5">
        <v>5</v>
      </c>
      <c r="E505" t="s">
        <v>1308</v>
      </c>
      <c r="F505" t="s">
        <v>83</v>
      </c>
      <c r="G505" s="2">
        <f t="shared" si="21"/>
        <v>46231</v>
      </c>
      <c r="H505" cm="1">
        <f t="array" ref="H505">D505*_xlfn.XLOOKUP(C505,Clean_Inventry_Master!A:A,Clean_Inventry_Master!E:E,NOT FOUND,0)</f>
        <v>75</v>
      </c>
      <c r="I505" s="2">
        <f t="shared" si="22"/>
        <v>46204</v>
      </c>
      <c r="J505" t="str">
        <f t="shared" si="23"/>
        <v>Jul 2026</v>
      </c>
    </row>
    <row r="506" spans="1:10" x14ac:dyDescent="0.3">
      <c r="A506" t="s">
        <v>890</v>
      </c>
      <c r="B506" t="s">
        <v>760</v>
      </c>
      <c r="C506" t="s">
        <v>16</v>
      </c>
      <c r="D506" s="5">
        <v>14</v>
      </c>
      <c r="E506" t="s">
        <v>91</v>
      </c>
      <c r="F506" t="s">
        <v>78</v>
      </c>
      <c r="G506" s="2">
        <f t="shared" si="21"/>
        <v>46279</v>
      </c>
      <c r="H506" cm="1">
        <f t="array" ref="H506">D506*_xlfn.XLOOKUP(C506,Clean_Inventry_Master!A:A,Clean_Inventry_Master!E:E,NOT FOUND,0)</f>
        <v>3206</v>
      </c>
      <c r="I506" s="2">
        <f t="shared" si="22"/>
        <v>46266</v>
      </c>
      <c r="J506" t="str">
        <f t="shared" si="23"/>
        <v>Sep 2026</v>
      </c>
    </row>
    <row r="507" spans="1:10" x14ac:dyDescent="0.3">
      <c r="A507" t="s">
        <v>891</v>
      </c>
      <c r="B507" t="s">
        <v>76</v>
      </c>
      <c r="C507" t="s">
        <v>20</v>
      </c>
      <c r="D507" s="5">
        <v>1</v>
      </c>
      <c r="E507" t="s">
        <v>77</v>
      </c>
      <c r="F507" t="s">
        <v>92</v>
      </c>
      <c r="G507" s="2">
        <f t="shared" si="21"/>
        <v>46125</v>
      </c>
      <c r="H507" cm="1">
        <f t="array" ref="H507">D507*_xlfn.XLOOKUP(C507,Clean_Inventry_Master!A:A,Clean_Inventry_Master!E:E,NOT FOUND,0)</f>
        <v>79.989999999999995</v>
      </c>
      <c r="I507" s="2">
        <f t="shared" si="22"/>
        <v>46113</v>
      </c>
      <c r="J507" t="str">
        <f t="shared" si="23"/>
        <v>Apr 2026</v>
      </c>
    </row>
    <row r="508" spans="1:10" x14ac:dyDescent="0.3">
      <c r="A508" t="s">
        <v>892</v>
      </c>
      <c r="B508" t="s">
        <v>893</v>
      </c>
      <c r="C508" t="s">
        <v>28</v>
      </c>
      <c r="D508" s="5">
        <v>6</v>
      </c>
      <c r="E508" t="s">
        <v>91</v>
      </c>
      <c r="F508" t="s">
        <v>92</v>
      </c>
      <c r="G508" s="2">
        <f t="shared" si="21"/>
        <v>46272</v>
      </c>
      <c r="H508" cm="1">
        <f t="array" ref="H508">D508*_xlfn.XLOOKUP(C508,Clean_Inventry_Master!A:A,Clean_Inventry_Master!E:E,NOT FOUND,0)</f>
        <v>1080</v>
      </c>
      <c r="I508" s="2">
        <f t="shared" si="22"/>
        <v>46266</v>
      </c>
      <c r="J508" t="str">
        <f t="shared" si="23"/>
        <v>Sep 2026</v>
      </c>
    </row>
    <row r="509" spans="1:10" x14ac:dyDescent="0.3">
      <c r="A509" t="s">
        <v>894</v>
      </c>
      <c r="B509" t="s">
        <v>391</v>
      </c>
      <c r="C509" t="s">
        <v>37</v>
      </c>
      <c r="D509" s="5">
        <v>13</v>
      </c>
      <c r="E509" t="s">
        <v>82</v>
      </c>
      <c r="F509" t="s">
        <v>83</v>
      </c>
      <c r="G509" s="2">
        <f t="shared" si="21"/>
        <v>46060</v>
      </c>
      <c r="H509" cm="1">
        <f t="array" ref="H509">D509*_xlfn.XLOOKUP(C509,Clean_Inventry_Master!A:A,Clean_Inventry_Master!E:E,NOT FOUND,0)</f>
        <v>585</v>
      </c>
      <c r="I509" s="2">
        <f t="shared" si="22"/>
        <v>46054</v>
      </c>
      <c r="J509" t="str">
        <f t="shared" si="23"/>
        <v>Feb 2026</v>
      </c>
    </row>
    <row r="510" spans="1:10" x14ac:dyDescent="0.3">
      <c r="A510" t="s">
        <v>895</v>
      </c>
      <c r="B510" t="s">
        <v>896</v>
      </c>
      <c r="C510" t="s">
        <v>31</v>
      </c>
      <c r="D510" s="5">
        <v>1</v>
      </c>
      <c r="E510" t="s">
        <v>1308</v>
      </c>
      <c r="F510" t="s">
        <v>92</v>
      </c>
      <c r="G510" s="2">
        <f t="shared" si="21"/>
        <v>46187</v>
      </c>
      <c r="H510" cm="1">
        <f t="array" ref="H510">D510*_xlfn.XLOOKUP(C510,Clean_Inventry_Master!A:A,Clean_Inventry_Master!E:E,NOT FOUND,0)</f>
        <v>15</v>
      </c>
      <c r="I510" s="2">
        <f t="shared" si="22"/>
        <v>46174</v>
      </c>
      <c r="J510" t="str">
        <f t="shared" si="23"/>
        <v>Jun 2026</v>
      </c>
    </row>
    <row r="511" spans="1:10" x14ac:dyDescent="0.3">
      <c r="A511" t="s">
        <v>897</v>
      </c>
      <c r="B511" t="s">
        <v>391</v>
      </c>
      <c r="C511" t="s">
        <v>26</v>
      </c>
      <c r="D511" s="5">
        <v>7</v>
      </c>
      <c r="E511" t="s">
        <v>82</v>
      </c>
      <c r="F511" t="s">
        <v>83</v>
      </c>
      <c r="G511" s="2">
        <f t="shared" si="21"/>
        <v>46060</v>
      </c>
      <c r="H511" cm="1">
        <f t="array" ref="H511">D511*_xlfn.XLOOKUP(C511,Clean_Inventry_Master!A:A,Clean_Inventry_Master!E:E,NOT FOUND,0)</f>
        <v>629.92999999999995</v>
      </c>
      <c r="I511" s="2">
        <f t="shared" si="22"/>
        <v>46054</v>
      </c>
      <c r="J511" t="str">
        <f t="shared" si="23"/>
        <v>Feb 2026</v>
      </c>
    </row>
    <row r="512" spans="1:10" x14ac:dyDescent="0.3">
      <c r="A512" t="s">
        <v>898</v>
      </c>
      <c r="B512" t="s">
        <v>899</v>
      </c>
      <c r="C512" t="s">
        <v>58</v>
      </c>
      <c r="D512" s="5">
        <v>10</v>
      </c>
      <c r="E512" t="s">
        <v>1308</v>
      </c>
      <c r="F512" t="s">
        <v>78</v>
      </c>
      <c r="G512" s="2">
        <f t="shared" si="21"/>
        <v>46026</v>
      </c>
      <c r="H512" cm="1">
        <f t="array" ref="H512">D512*_xlfn.XLOOKUP(C512,Clean_Inventry_Master!A:A,Clean_Inventry_Master!E:E,NOT FOUND,0)</f>
        <v>599.9</v>
      </c>
      <c r="I512" s="2">
        <f t="shared" si="22"/>
        <v>46023</v>
      </c>
      <c r="J512" t="str">
        <f t="shared" si="23"/>
        <v>Jan 2026</v>
      </c>
    </row>
    <row r="513" spans="1:10" x14ac:dyDescent="0.3">
      <c r="A513" t="s">
        <v>900</v>
      </c>
      <c r="B513" t="s">
        <v>185</v>
      </c>
      <c r="C513" t="s">
        <v>26</v>
      </c>
      <c r="D513" s="5">
        <v>5</v>
      </c>
      <c r="E513" t="s">
        <v>82</v>
      </c>
      <c r="F513" t="s">
        <v>83</v>
      </c>
      <c r="G513" s="2">
        <f t="shared" si="21"/>
        <v>46300</v>
      </c>
      <c r="H513" cm="1">
        <f t="array" ref="H513">D513*_xlfn.XLOOKUP(C513,Clean_Inventry_Master!A:A,Clean_Inventry_Master!E:E,NOT FOUND,0)</f>
        <v>449.95</v>
      </c>
      <c r="I513" s="2">
        <f t="shared" si="22"/>
        <v>46296</v>
      </c>
      <c r="J513" t="str">
        <f t="shared" si="23"/>
        <v>Oct 2026</v>
      </c>
    </row>
    <row r="514" spans="1:10" x14ac:dyDescent="0.3">
      <c r="A514" t="s">
        <v>901</v>
      </c>
      <c r="B514" t="s">
        <v>701</v>
      </c>
      <c r="C514" t="s">
        <v>20</v>
      </c>
      <c r="D514" s="5">
        <v>13</v>
      </c>
      <c r="E514" t="s">
        <v>1308</v>
      </c>
      <c r="F514" t="s">
        <v>92</v>
      </c>
      <c r="G514" s="2">
        <f t="shared" ref="G514:G577" si="24">IF(ISNUMBER(SEARCH("-", B514)), DATEVALUE(B514), DATE(RIGHT(B514,4), LEFT(B514, FIND("/", B514)-1), MID(B514, FIND("/", B514)+1, FIND("/", B514, FIND("/", B514)+1) - FIND("/", B514) - 1)))</f>
        <v>46089</v>
      </c>
      <c r="H514" cm="1">
        <f t="array" ref="H514">D514*_xlfn.XLOOKUP(C514,Clean_Inventry_Master!A:A,Clean_Inventry_Master!E:E,NOT FOUND,0)</f>
        <v>1039.8699999999999</v>
      </c>
      <c r="I514" s="2">
        <f t="shared" ref="I514:I577" si="25">DATE(YEAR(G514),MONTH(G514),1)</f>
        <v>46082</v>
      </c>
      <c r="J514" t="str">
        <f t="shared" ref="J514:J577" si="26">TEXT(I514,"mmm yyyy")</f>
        <v>Mar 2026</v>
      </c>
    </row>
    <row r="515" spans="1:10" x14ac:dyDescent="0.3">
      <c r="A515" t="s">
        <v>902</v>
      </c>
      <c r="B515" t="s">
        <v>903</v>
      </c>
      <c r="C515" t="s">
        <v>24</v>
      </c>
      <c r="D515" s="5">
        <v>1</v>
      </c>
      <c r="E515" t="s">
        <v>77</v>
      </c>
      <c r="F515" t="s">
        <v>78</v>
      </c>
      <c r="G515" s="2">
        <f t="shared" si="24"/>
        <v>46104</v>
      </c>
      <c r="H515" cm="1">
        <f t="array" ref="H515">D515*_xlfn.XLOOKUP(C515,Clean_Inventry_Master!A:A,Clean_Inventry_Master!E:E,NOT FOUND,0)</f>
        <v>139.99</v>
      </c>
      <c r="I515" s="2">
        <f t="shared" si="25"/>
        <v>46082</v>
      </c>
      <c r="J515" t="str">
        <f t="shared" si="26"/>
        <v>Mar 2026</v>
      </c>
    </row>
    <row r="516" spans="1:10" x14ac:dyDescent="0.3">
      <c r="A516" t="s">
        <v>904</v>
      </c>
      <c r="B516" t="s">
        <v>203</v>
      </c>
      <c r="C516" t="s">
        <v>52</v>
      </c>
      <c r="D516" s="5">
        <v>2</v>
      </c>
      <c r="E516" t="s">
        <v>82</v>
      </c>
      <c r="F516" t="s">
        <v>92</v>
      </c>
      <c r="G516" s="2">
        <f t="shared" si="24"/>
        <v>46136</v>
      </c>
      <c r="H516" cm="1">
        <f t="array" ref="H516">D516*_xlfn.XLOOKUP(C516,Clean_Inventry_Master!A:A,Clean_Inventry_Master!E:E,NOT FOUND,0)</f>
        <v>59.98</v>
      </c>
      <c r="I516" s="2">
        <f t="shared" si="25"/>
        <v>46113</v>
      </c>
      <c r="J516" t="str">
        <f t="shared" si="26"/>
        <v>Apr 2026</v>
      </c>
    </row>
    <row r="517" spans="1:10" x14ac:dyDescent="0.3">
      <c r="A517" t="s">
        <v>905</v>
      </c>
      <c r="B517" t="s">
        <v>115</v>
      </c>
      <c r="C517" t="s">
        <v>45</v>
      </c>
      <c r="D517" s="5">
        <v>1</v>
      </c>
      <c r="E517" t="s">
        <v>91</v>
      </c>
      <c r="F517" t="s">
        <v>83</v>
      </c>
      <c r="G517" s="2">
        <f t="shared" si="24"/>
        <v>46127</v>
      </c>
      <c r="H517" cm="1">
        <f t="array" ref="H517">D517*_xlfn.XLOOKUP(C517,Clean_Inventry_Master!A:A,Clean_Inventry_Master!E:E,NOT FOUND,0)</f>
        <v>18.989999999999998</v>
      </c>
      <c r="I517" s="2">
        <f t="shared" si="25"/>
        <v>46113</v>
      </c>
      <c r="J517" t="str">
        <f t="shared" si="26"/>
        <v>Apr 2026</v>
      </c>
    </row>
    <row r="518" spans="1:10" x14ac:dyDescent="0.3">
      <c r="A518" t="s">
        <v>906</v>
      </c>
      <c r="B518" t="s">
        <v>907</v>
      </c>
      <c r="C518" t="s">
        <v>18</v>
      </c>
      <c r="D518" s="5">
        <v>1</v>
      </c>
      <c r="E518" t="s">
        <v>77</v>
      </c>
      <c r="F518" t="s">
        <v>78</v>
      </c>
      <c r="G518" s="2">
        <f t="shared" si="24"/>
        <v>46221</v>
      </c>
      <c r="H518" cm="1">
        <f t="array" ref="H518">D518*_xlfn.XLOOKUP(C518,Clean_Inventry_Master!A:A,Clean_Inventry_Master!E:E,NOT FOUND,0)</f>
        <v>69.989999999999995</v>
      </c>
      <c r="I518" s="2">
        <f t="shared" si="25"/>
        <v>46204</v>
      </c>
      <c r="J518" t="str">
        <f t="shared" si="26"/>
        <v>Jul 2026</v>
      </c>
    </row>
    <row r="519" spans="1:10" x14ac:dyDescent="0.3">
      <c r="A519" t="s">
        <v>908</v>
      </c>
      <c r="B519" t="s">
        <v>873</v>
      </c>
      <c r="C519" t="s">
        <v>45</v>
      </c>
      <c r="D519" s="5">
        <v>1</v>
      </c>
      <c r="E519" t="s">
        <v>77</v>
      </c>
      <c r="F519" t="s">
        <v>92</v>
      </c>
      <c r="G519" s="2">
        <f t="shared" si="24"/>
        <v>46056</v>
      </c>
      <c r="H519" cm="1">
        <f t="array" ref="H519">D519*_xlfn.XLOOKUP(C519,Clean_Inventry_Master!A:A,Clean_Inventry_Master!E:E,NOT FOUND,0)</f>
        <v>18.989999999999998</v>
      </c>
      <c r="I519" s="2">
        <f t="shared" si="25"/>
        <v>46054</v>
      </c>
      <c r="J519" t="str">
        <f t="shared" si="26"/>
        <v>Feb 2026</v>
      </c>
    </row>
    <row r="520" spans="1:10" x14ac:dyDescent="0.3">
      <c r="A520" t="s">
        <v>909</v>
      </c>
      <c r="B520" t="s">
        <v>910</v>
      </c>
      <c r="C520" t="s">
        <v>45</v>
      </c>
      <c r="D520" s="5">
        <v>12</v>
      </c>
      <c r="E520" t="s">
        <v>82</v>
      </c>
      <c r="F520" t="s">
        <v>78</v>
      </c>
      <c r="G520" s="2">
        <f t="shared" si="24"/>
        <v>46242</v>
      </c>
      <c r="H520" cm="1">
        <f t="array" ref="H520">D520*_xlfn.XLOOKUP(C520,Clean_Inventry_Master!A:A,Clean_Inventry_Master!E:E,NOT FOUND,0)</f>
        <v>227.88</v>
      </c>
      <c r="I520" s="2">
        <f t="shared" si="25"/>
        <v>46235</v>
      </c>
      <c r="J520" t="str">
        <f t="shared" si="26"/>
        <v>Aug 2026</v>
      </c>
    </row>
    <row r="521" spans="1:10" x14ac:dyDescent="0.3">
      <c r="A521" t="s">
        <v>911</v>
      </c>
      <c r="B521" t="s">
        <v>175</v>
      </c>
      <c r="C521" t="s">
        <v>58</v>
      </c>
      <c r="D521" s="5">
        <v>4</v>
      </c>
      <c r="E521" t="s">
        <v>1308</v>
      </c>
      <c r="F521" t="s">
        <v>83</v>
      </c>
      <c r="G521" s="2">
        <f t="shared" si="24"/>
        <v>46175</v>
      </c>
      <c r="H521" cm="1">
        <f t="array" ref="H521">D521*_xlfn.XLOOKUP(C521,Clean_Inventry_Master!A:A,Clean_Inventry_Master!E:E,NOT FOUND,0)</f>
        <v>239.96</v>
      </c>
      <c r="I521" s="2">
        <f t="shared" si="25"/>
        <v>46174</v>
      </c>
      <c r="J521" t="str">
        <f t="shared" si="26"/>
        <v>Jun 2026</v>
      </c>
    </row>
    <row r="522" spans="1:10" x14ac:dyDescent="0.3">
      <c r="A522" t="s">
        <v>912</v>
      </c>
      <c r="B522" t="s">
        <v>621</v>
      </c>
      <c r="C522" t="s">
        <v>22</v>
      </c>
      <c r="D522" s="5">
        <v>11</v>
      </c>
      <c r="E522" t="s">
        <v>1308</v>
      </c>
      <c r="F522" t="s">
        <v>78</v>
      </c>
      <c r="G522" s="2">
        <f t="shared" si="24"/>
        <v>46248</v>
      </c>
      <c r="H522" cm="1">
        <f t="array" ref="H522">D522*_xlfn.XLOOKUP(C522,Clean_Inventry_Master!A:A,Clean_Inventry_Master!E:E,NOT FOUND,0)</f>
        <v>1319.8899999999999</v>
      </c>
      <c r="I522" s="2">
        <f t="shared" si="25"/>
        <v>46235</v>
      </c>
      <c r="J522" t="str">
        <f t="shared" si="26"/>
        <v>Aug 2026</v>
      </c>
    </row>
    <row r="523" spans="1:10" x14ac:dyDescent="0.3">
      <c r="A523" t="s">
        <v>913</v>
      </c>
      <c r="B523" t="s">
        <v>914</v>
      </c>
      <c r="C523" t="s">
        <v>10</v>
      </c>
      <c r="D523" s="5">
        <v>6</v>
      </c>
      <c r="E523" t="s">
        <v>1308</v>
      </c>
      <c r="F523" t="s">
        <v>83</v>
      </c>
      <c r="G523" s="2">
        <f t="shared" si="24"/>
        <v>46072</v>
      </c>
      <c r="H523" cm="1">
        <f t="array" ref="H523">D523*_xlfn.XLOOKUP(C523,Clean_Inventry_Master!A:A,Clean_Inventry_Master!E:E,NOT FOUND,0)</f>
        <v>2994</v>
      </c>
      <c r="I523" s="2">
        <f t="shared" si="25"/>
        <v>46054</v>
      </c>
      <c r="J523" t="str">
        <f t="shared" si="26"/>
        <v>Feb 2026</v>
      </c>
    </row>
    <row r="524" spans="1:10" x14ac:dyDescent="0.3">
      <c r="A524" t="s">
        <v>915</v>
      </c>
      <c r="B524" t="s">
        <v>876</v>
      </c>
      <c r="C524" t="s">
        <v>39</v>
      </c>
      <c r="D524" s="5">
        <v>6</v>
      </c>
      <c r="E524" t="s">
        <v>91</v>
      </c>
      <c r="F524" t="s">
        <v>92</v>
      </c>
      <c r="G524" s="2">
        <f t="shared" si="24"/>
        <v>46291</v>
      </c>
      <c r="H524" cm="1">
        <f t="array" ref="H524">D524*_xlfn.XLOOKUP(C524,Clean_Inventry_Master!A:A,Clean_Inventry_Master!E:E,NOT FOUND,0)</f>
        <v>131.94</v>
      </c>
      <c r="I524" s="2">
        <f t="shared" si="25"/>
        <v>46266</v>
      </c>
      <c r="J524" t="str">
        <f t="shared" si="26"/>
        <v>Sep 2026</v>
      </c>
    </row>
    <row r="525" spans="1:10" x14ac:dyDescent="0.3">
      <c r="A525" t="s">
        <v>916</v>
      </c>
      <c r="B525" t="s">
        <v>917</v>
      </c>
      <c r="C525" t="s">
        <v>47</v>
      </c>
      <c r="D525" s="5">
        <v>13</v>
      </c>
      <c r="E525" t="s">
        <v>77</v>
      </c>
      <c r="F525" t="s">
        <v>83</v>
      </c>
      <c r="G525" s="2">
        <f t="shared" si="24"/>
        <v>46165</v>
      </c>
      <c r="H525" cm="1">
        <f t="array" ref="H525">D525*_xlfn.XLOOKUP(C525,Clean_Inventry_Master!A:A,Clean_Inventry_Master!E:E,NOT FOUND,0)</f>
        <v>1689.8700000000001</v>
      </c>
      <c r="I525" s="2">
        <f t="shared" si="25"/>
        <v>46143</v>
      </c>
      <c r="J525" t="str">
        <f t="shared" si="26"/>
        <v>May 2026</v>
      </c>
    </row>
    <row r="526" spans="1:10" x14ac:dyDescent="0.3">
      <c r="A526" t="s">
        <v>918</v>
      </c>
      <c r="B526" t="s">
        <v>903</v>
      </c>
      <c r="C526" t="s">
        <v>28</v>
      </c>
      <c r="D526" s="5">
        <v>12</v>
      </c>
      <c r="E526" t="s">
        <v>1308</v>
      </c>
      <c r="F526" t="s">
        <v>92</v>
      </c>
      <c r="G526" s="2">
        <f t="shared" si="24"/>
        <v>46104</v>
      </c>
      <c r="H526" cm="1">
        <f t="array" ref="H526">D526*_xlfn.XLOOKUP(C526,Clean_Inventry_Master!A:A,Clean_Inventry_Master!E:E,NOT FOUND,0)</f>
        <v>2160</v>
      </c>
      <c r="I526" s="2">
        <f t="shared" si="25"/>
        <v>46082</v>
      </c>
      <c r="J526" t="str">
        <f t="shared" si="26"/>
        <v>Mar 2026</v>
      </c>
    </row>
    <row r="527" spans="1:10" x14ac:dyDescent="0.3">
      <c r="A527" t="s">
        <v>919</v>
      </c>
      <c r="B527" t="s">
        <v>388</v>
      </c>
      <c r="C527" t="s">
        <v>66</v>
      </c>
      <c r="D527" s="5">
        <v>8</v>
      </c>
      <c r="E527" t="s">
        <v>77</v>
      </c>
      <c r="F527" t="s">
        <v>92</v>
      </c>
      <c r="G527" s="2">
        <f t="shared" si="24"/>
        <v>46268</v>
      </c>
      <c r="H527" cm="1">
        <f t="array" ref="H527">D527*_xlfn.XLOOKUP(C527,Clean_Inventry_Master!A:A,Clean_Inventry_Master!E:E,NOT FOUND,0)</f>
        <v>279.92</v>
      </c>
      <c r="I527" s="2">
        <f t="shared" si="25"/>
        <v>46266</v>
      </c>
      <c r="J527" t="str">
        <f t="shared" si="26"/>
        <v>Sep 2026</v>
      </c>
    </row>
    <row r="528" spans="1:10" x14ac:dyDescent="0.3">
      <c r="A528" t="s">
        <v>920</v>
      </c>
      <c r="B528" t="s">
        <v>448</v>
      </c>
      <c r="C528" t="s">
        <v>45</v>
      </c>
      <c r="D528" s="5">
        <v>6</v>
      </c>
      <c r="E528" t="s">
        <v>91</v>
      </c>
      <c r="F528" t="s">
        <v>78</v>
      </c>
      <c r="G528" s="2">
        <f t="shared" si="24"/>
        <v>46191</v>
      </c>
      <c r="H528" cm="1">
        <f t="array" ref="H528">D528*_xlfn.XLOOKUP(C528,Clean_Inventry_Master!A:A,Clean_Inventry_Master!E:E,NOT FOUND,0)</f>
        <v>113.94</v>
      </c>
      <c r="I528" s="2">
        <f t="shared" si="25"/>
        <v>46174</v>
      </c>
      <c r="J528" t="str">
        <f t="shared" si="26"/>
        <v>Jun 2026</v>
      </c>
    </row>
    <row r="529" spans="1:10" x14ac:dyDescent="0.3">
      <c r="A529" t="s">
        <v>921</v>
      </c>
      <c r="B529" t="s">
        <v>572</v>
      </c>
      <c r="C529" t="s">
        <v>28</v>
      </c>
      <c r="D529" s="5">
        <v>6</v>
      </c>
      <c r="E529" t="s">
        <v>82</v>
      </c>
      <c r="F529" t="s">
        <v>83</v>
      </c>
      <c r="G529" s="2">
        <f t="shared" si="24"/>
        <v>46051</v>
      </c>
      <c r="H529" cm="1">
        <f t="array" ref="H529">D529*_xlfn.XLOOKUP(C529,Clean_Inventry_Master!A:A,Clean_Inventry_Master!E:E,NOT FOUND,0)</f>
        <v>1080</v>
      </c>
      <c r="I529" s="2">
        <f t="shared" si="25"/>
        <v>46023</v>
      </c>
      <c r="J529" t="str">
        <f t="shared" si="26"/>
        <v>Jan 2026</v>
      </c>
    </row>
    <row r="530" spans="1:10" x14ac:dyDescent="0.3">
      <c r="A530" t="s">
        <v>922</v>
      </c>
      <c r="B530" t="s">
        <v>102</v>
      </c>
      <c r="C530" t="s">
        <v>18</v>
      </c>
      <c r="D530" s="5">
        <v>10</v>
      </c>
      <c r="E530" t="s">
        <v>77</v>
      </c>
      <c r="F530" t="s">
        <v>78</v>
      </c>
      <c r="G530" s="2">
        <f t="shared" si="24"/>
        <v>46252</v>
      </c>
      <c r="H530" cm="1">
        <f t="array" ref="H530">D530*_xlfn.XLOOKUP(C530,Clean_Inventry_Master!A:A,Clean_Inventry_Master!E:E,NOT FOUND,0)</f>
        <v>699.9</v>
      </c>
      <c r="I530" s="2">
        <f t="shared" si="25"/>
        <v>46235</v>
      </c>
      <c r="J530" t="str">
        <f t="shared" si="26"/>
        <v>Aug 2026</v>
      </c>
    </row>
    <row r="531" spans="1:10" x14ac:dyDescent="0.3">
      <c r="A531" t="s">
        <v>923</v>
      </c>
      <c r="B531" t="s">
        <v>364</v>
      </c>
      <c r="C531" t="s">
        <v>64</v>
      </c>
      <c r="D531" s="5">
        <v>8</v>
      </c>
      <c r="E531" t="s">
        <v>91</v>
      </c>
      <c r="F531" t="s">
        <v>78</v>
      </c>
      <c r="G531" s="2">
        <f t="shared" si="24"/>
        <v>46243</v>
      </c>
      <c r="H531" cm="1">
        <f t="array" ref="H531">D531*_xlfn.XLOOKUP(C531,Clean_Inventry_Master!A:A,Clean_Inventry_Master!E:E,NOT FOUND,0)</f>
        <v>159.91999999999999</v>
      </c>
      <c r="I531" s="2">
        <f t="shared" si="25"/>
        <v>46235</v>
      </c>
      <c r="J531" t="str">
        <f t="shared" si="26"/>
        <v>Aug 2026</v>
      </c>
    </row>
    <row r="532" spans="1:10" x14ac:dyDescent="0.3">
      <c r="A532" t="s">
        <v>924</v>
      </c>
      <c r="B532" t="s">
        <v>668</v>
      </c>
      <c r="C532" t="s">
        <v>68</v>
      </c>
      <c r="D532" s="5">
        <v>2</v>
      </c>
      <c r="E532" t="s">
        <v>82</v>
      </c>
      <c r="F532" t="s">
        <v>92</v>
      </c>
      <c r="G532" s="2">
        <f t="shared" si="24"/>
        <v>46219</v>
      </c>
      <c r="H532" cm="1">
        <f t="array" ref="H532">D532*_xlfn.XLOOKUP(C532,Clean_Inventry_Master!A:A,Clean_Inventry_Master!E:E,NOT FOUND,0)</f>
        <v>85</v>
      </c>
      <c r="I532" s="2">
        <f t="shared" si="25"/>
        <v>46204</v>
      </c>
      <c r="J532" t="str">
        <f t="shared" si="26"/>
        <v>Jul 2026</v>
      </c>
    </row>
    <row r="533" spans="1:10" x14ac:dyDescent="0.3">
      <c r="A533" t="s">
        <v>925</v>
      </c>
      <c r="B533" t="s">
        <v>896</v>
      </c>
      <c r="C533" t="s">
        <v>54</v>
      </c>
      <c r="D533" s="5">
        <v>4</v>
      </c>
      <c r="E533" t="s">
        <v>77</v>
      </c>
      <c r="F533" t="s">
        <v>92</v>
      </c>
      <c r="G533" s="2">
        <f t="shared" si="24"/>
        <v>46187</v>
      </c>
      <c r="H533" cm="1">
        <f t="array" ref="H533">D533*_xlfn.XLOOKUP(C533,Clean_Inventry_Master!A:A,Clean_Inventry_Master!E:E,NOT FOUND,0)</f>
        <v>1399.96</v>
      </c>
      <c r="I533" s="2">
        <f t="shared" si="25"/>
        <v>46174</v>
      </c>
      <c r="J533" t="str">
        <f t="shared" si="26"/>
        <v>Jun 2026</v>
      </c>
    </row>
    <row r="534" spans="1:10" x14ac:dyDescent="0.3">
      <c r="A534" t="s">
        <v>926</v>
      </c>
      <c r="B534" t="s">
        <v>720</v>
      </c>
      <c r="C534" t="s">
        <v>26</v>
      </c>
      <c r="D534" s="5">
        <v>10</v>
      </c>
      <c r="E534" t="s">
        <v>82</v>
      </c>
      <c r="F534" t="s">
        <v>83</v>
      </c>
      <c r="G534" s="2">
        <f t="shared" si="24"/>
        <v>46043</v>
      </c>
      <c r="H534" cm="1">
        <f t="array" ref="H534">D534*_xlfn.XLOOKUP(C534,Clean_Inventry_Master!A:A,Clean_Inventry_Master!E:E,NOT FOUND,0)</f>
        <v>899.9</v>
      </c>
      <c r="I534" s="2">
        <f t="shared" si="25"/>
        <v>46023</v>
      </c>
      <c r="J534" t="str">
        <f t="shared" si="26"/>
        <v>Jan 2026</v>
      </c>
    </row>
    <row r="535" spans="1:10" x14ac:dyDescent="0.3">
      <c r="A535" t="s">
        <v>927</v>
      </c>
      <c r="B535" t="s">
        <v>121</v>
      </c>
      <c r="C535" t="s">
        <v>10</v>
      </c>
      <c r="D535" s="5">
        <v>10</v>
      </c>
      <c r="E535" t="s">
        <v>1308</v>
      </c>
      <c r="F535" t="s">
        <v>83</v>
      </c>
      <c r="G535" s="2">
        <f t="shared" si="24"/>
        <v>46237</v>
      </c>
      <c r="H535" cm="1">
        <f t="array" ref="H535">D535*_xlfn.XLOOKUP(C535,Clean_Inventry_Master!A:A,Clean_Inventry_Master!E:E,NOT FOUND,0)</f>
        <v>4990</v>
      </c>
      <c r="I535" s="2">
        <f t="shared" si="25"/>
        <v>46235</v>
      </c>
      <c r="J535" t="str">
        <f t="shared" si="26"/>
        <v>Aug 2026</v>
      </c>
    </row>
    <row r="536" spans="1:10" x14ac:dyDescent="0.3">
      <c r="A536" t="s">
        <v>928</v>
      </c>
      <c r="B536" t="s">
        <v>555</v>
      </c>
      <c r="C536" t="s">
        <v>28</v>
      </c>
      <c r="D536" s="5">
        <v>7</v>
      </c>
      <c r="E536" t="s">
        <v>82</v>
      </c>
      <c r="F536" t="s">
        <v>92</v>
      </c>
      <c r="G536" s="2">
        <f t="shared" si="24"/>
        <v>46074</v>
      </c>
      <c r="H536" cm="1">
        <f t="array" ref="H536">D536*_xlfn.XLOOKUP(C536,Clean_Inventry_Master!A:A,Clean_Inventry_Master!E:E,NOT FOUND,0)</f>
        <v>1260</v>
      </c>
      <c r="I536" s="2">
        <f t="shared" si="25"/>
        <v>46054</v>
      </c>
      <c r="J536" t="str">
        <f t="shared" si="26"/>
        <v>Feb 2026</v>
      </c>
    </row>
    <row r="537" spans="1:10" x14ac:dyDescent="0.3">
      <c r="A537" t="s">
        <v>929</v>
      </c>
      <c r="B537" t="s">
        <v>94</v>
      </c>
      <c r="C537" t="s">
        <v>35</v>
      </c>
      <c r="D537" s="5">
        <v>12</v>
      </c>
      <c r="E537" t="s">
        <v>91</v>
      </c>
      <c r="F537" t="s">
        <v>78</v>
      </c>
      <c r="G537" s="2">
        <f t="shared" si="24"/>
        <v>46281</v>
      </c>
      <c r="H537" cm="1">
        <f t="array" ref="H537">D537*_xlfn.XLOOKUP(C537,Clean_Inventry_Master!A:A,Clean_Inventry_Master!E:E,NOT FOUND,0)</f>
        <v>119.88</v>
      </c>
      <c r="I537" s="2">
        <f t="shared" si="25"/>
        <v>46266</v>
      </c>
      <c r="J537" t="str">
        <f t="shared" si="26"/>
        <v>Sep 2026</v>
      </c>
    </row>
    <row r="538" spans="1:10" x14ac:dyDescent="0.3">
      <c r="A538" t="s">
        <v>930</v>
      </c>
      <c r="B538" t="s">
        <v>873</v>
      </c>
      <c r="C538" t="s">
        <v>43</v>
      </c>
      <c r="D538" s="5">
        <v>7</v>
      </c>
      <c r="E538" t="s">
        <v>1308</v>
      </c>
      <c r="F538" t="s">
        <v>78</v>
      </c>
      <c r="G538" s="2">
        <f t="shared" si="24"/>
        <v>46056</v>
      </c>
      <c r="H538" cm="1">
        <f t="array" ref="H538">D538*_xlfn.XLOOKUP(C538,Clean_Inventry_Master!A:A,Clean_Inventry_Master!E:E,NOT FOUND,0)</f>
        <v>59.5</v>
      </c>
      <c r="I538" s="2">
        <f t="shared" si="25"/>
        <v>46054</v>
      </c>
      <c r="J538" t="str">
        <f t="shared" si="26"/>
        <v>Feb 2026</v>
      </c>
    </row>
    <row r="539" spans="1:10" x14ac:dyDescent="0.3">
      <c r="A539" t="s">
        <v>931</v>
      </c>
      <c r="B539" t="s">
        <v>192</v>
      </c>
      <c r="C539" t="s">
        <v>33</v>
      </c>
      <c r="D539" s="5">
        <v>14</v>
      </c>
      <c r="E539" t="s">
        <v>77</v>
      </c>
      <c r="F539" t="s">
        <v>83</v>
      </c>
      <c r="G539" s="2">
        <f t="shared" si="24"/>
        <v>46224</v>
      </c>
      <c r="H539" cm="1">
        <f t="array" ref="H539">D539*_xlfn.XLOOKUP(C539,Clean_Inventry_Master!A:A,Clean_Inventry_Master!E:E,NOT FOUND,0)</f>
        <v>336</v>
      </c>
      <c r="I539" s="2">
        <f t="shared" si="25"/>
        <v>46204</v>
      </c>
      <c r="J539" t="str">
        <f t="shared" si="26"/>
        <v>Jul 2026</v>
      </c>
    </row>
    <row r="540" spans="1:10" x14ac:dyDescent="0.3">
      <c r="A540" t="s">
        <v>932</v>
      </c>
      <c r="B540" t="s">
        <v>933</v>
      </c>
      <c r="C540" t="s">
        <v>20</v>
      </c>
      <c r="D540" s="5">
        <v>6</v>
      </c>
      <c r="E540" t="s">
        <v>82</v>
      </c>
      <c r="F540" t="s">
        <v>92</v>
      </c>
      <c r="G540" s="2">
        <f t="shared" si="24"/>
        <v>46169</v>
      </c>
      <c r="H540" cm="1">
        <f t="array" ref="H540">D540*_xlfn.XLOOKUP(C540,Clean_Inventry_Master!A:A,Clean_Inventry_Master!E:E,NOT FOUND,0)</f>
        <v>479.93999999999994</v>
      </c>
      <c r="I540" s="2">
        <f t="shared" si="25"/>
        <v>46143</v>
      </c>
      <c r="J540" t="str">
        <f t="shared" si="26"/>
        <v>May 2026</v>
      </c>
    </row>
    <row r="541" spans="1:10" x14ac:dyDescent="0.3">
      <c r="A541" t="s">
        <v>934</v>
      </c>
      <c r="B541" t="s">
        <v>173</v>
      </c>
      <c r="C541" t="s">
        <v>52</v>
      </c>
      <c r="D541" s="5">
        <v>12</v>
      </c>
      <c r="E541" t="s">
        <v>91</v>
      </c>
      <c r="F541" t="s">
        <v>92</v>
      </c>
      <c r="G541" s="2">
        <f t="shared" si="24"/>
        <v>46130</v>
      </c>
      <c r="H541" cm="1">
        <f t="array" ref="H541">D541*_xlfn.XLOOKUP(C541,Clean_Inventry_Master!A:A,Clean_Inventry_Master!E:E,NOT FOUND,0)</f>
        <v>359.88</v>
      </c>
      <c r="I541" s="2">
        <f t="shared" si="25"/>
        <v>46113</v>
      </c>
      <c r="J541" t="str">
        <f t="shared" si="26"/>
        <v>Apr 2026</v>
      </c>
    </row>
    <row r="542" spans="1:10" x14ac:dyDescent="0.3">
      <c r="A542" t="s">
        <v>935</v>
      </c>
      <c r="B542" t="s">
        <v>936</v>
      </c>
      <c r="C542" t="s">
        <v>20</v>
      </c>
      <c r="D542" s="5">
        <v>10</v>
      </c>
      <c r="E542" t="s">
        <v>82</v>
      </c>
      <c r="F542" t="s">
        <v>92</v>
      </c>
      <c r="G542" s="2">
        <f t="shared" si="24"/>
        <v>46246</v>
      </c>
      <c r="H542" cm="1">
        <f t="array" ref="H542">D542*_xlfn.XLOOKUP(C542,Clean_Inventry_Master!A:A,Clean_Inventry_Master!E:E,NOT FOUND,0)</f>
        <v>799.9</v>
      </c>
      <c r="I542" s="2">
        <f t="shared" si="25"/>
        <v>46235</v>
      </c>
      <c r="J542" t="str">
        <f t="shared" si="26"/>
        <v>Aug 2026</v>
      </c>
    </row>
    <row r="543" spans="1:10" x14ac:dyDescent="0.3">
      <c r="A543" t="s">
        <v>938</v>
      </c>
      <c r="B543" t="s">
        <v>286</v>
      </c>
      <c r="C543" t="s">
        <v>20</v>
      </c>
      <c r="D543" s="5">
        <v>2</v>
      </c>
      <c r="E543" t="s">
        <v>77</v>
      </c>
      <c r="F543" t="s">
        <v>78</v>
      </c>
      <c r="G543" s="2">
        <f t="shared" si="24"/>
        <v>46230</v>
      </c>
      <c r="H543" cm="1">
        <f t="array" ref="H543">D543*_xlfn.XLOOKUP(C543,Clean_Inventry_Master!A:A,Clean_Inventry_Master!E:E,NOT FOUND,0)</f>
        <v>159.97999999999999</v>
      </c>
      <c r="I543" s="2">
        <f t="shared" si="25"/>
        <v>46204</v>
      </c>
      <c r="J543" t="str">
        <f t="shared" si="26"/>
        <v>Jul 2026</v>
      </c>
    </row>
    <row r="544" spans="1:10" x14ac:dyDescent="0.3">
      <c r="A544" t="s">
        <v>939</v>
      </c>
      <c r="B544" t="s">
        <v>585</v>
      </c>
      <c r="C544" t="s">
        <v>45</v>
      </c>
      <c r="D544" s="5">
        <v>14</v>
      </c>
      <c r="E544" t="s">
        <v>82</v>
      </c>
      <c r="F544" t="s">
        <v>92</v>
      </c>
      <c r="G544" s="2">
        <f t="shared" si="24"/>
        <v>46132</v>
      </c>
      <c r="H544" cm="1">
        <f t="array" ref="H544">D544*_xlfn.XLOOKUP(C544,Clean_Inventry_Master!A:A,Clean_Inventry_Master!E:E,NOT FOUND,0)</f>
        <v>265.85999999999996</v>
      </c>
      <c r="I544" s="2">
        <f t="shared" si="25"/>
        <v>46113</v>
      </c>
      <c r="J544" t="str">
        <f t="shared" si="26"/>
        <v>Apr 2026</v>
      </c>
    </row>
    <row r="545" spans="1:10" x14ac:dyDescent="0.3">
      <c r="A545" t="s">
        <v>940</v>
      </c>
      <c r="B545" t="s">
        <v>526</v>
      </c>
      <c r="C545" t="s">
        <v>39</v>
      </c>
      <c r="D545" s="5">
        <v>12</v>
      </c>
      <c r="E545" t="s">
        <v>82</v>
      </c>
      <c r="F545" t="s">
        <v>92</v>
      </c>
      <c r="G545" s="2">
        <f t="shared" si="24"/>
        <v>46098</v>
      </c>
      <c r="H545" cm="1">
        <f t="array" ref="H545">D545*_xlfn.XLOOKUP(C545,Clean_Inventry_Master!A:A,Clean_Inventry_Master!E:E,NOT FOUND,0)</f>
        <v>263.88</v>
      </c>
      <c r="I545" s="2">
        <f t="shared" si="25"/>
        <v>46082</v>
      </c>
      <c r="J545" t="str">
        <f t="shared" si="26"/>
        <v>Mar 2026</v>
      </c>
    </row>
    <row r="546" spans="1:10" x14ac:dyDescent="0.3">
      <c r="A546" t="s">
        <v>941</v>
      </c>
      <c r="B546" t="s">
        <v>436</v>
      </c>
      <c r="C546" t="s">
        <v>16</v>
      </c>
      <c r="D546" s="5">
        <v>13</v>
      </c>
      <c r="E546" t="s">
        <v>82</v>
      </c>
      <c r="F546" t="s">
        <v>83</v>
      </c>
      <c r="G546" s="2">
        <f t="shared" si="24"/>
        <v>46263</v>
      </c>
      <c r="H546" cm="1">
        <f t="array" ref="H546">D546*_xlfn.XLOOKUP(C546,Clean_Inventry_Master!A:A,Clean_Inventry_Master!E:E,NOT FOUND,0)</f>
        <v>2977</v>
      </c>
      <c r="I546" s="2">
        <f t="shared" si="25"/>
        <v>46235</v>
      </c>
      <c r="J546" t="str">
        <f t="shared" si="26"/>
        <v>Aug 2026</v>
      </c>
    </row>
    <row r="547" spans="1:10" x14ac:dyDescent="0.3">
      <c r="A547" t="s">
        <v>942</v>
      </c>
      <c r="B547" t="s">
        <v>943</v>
      </c>
      <c r="C547" t="s">
        <v>24</v>
      </c>
      <c r="D547" s="5">
        <v>8</v>
      </c>
      <c r="E547" t="s">
        <v>77</v>
      </c>
      <c r="F547" t="s">
        <v>78</v>
      </c>
      <c r="G547" s="2">
        <f t="shared" si="24"/>
        <v>46190</v>
      </c>
      <c r="H547" cm="1">
        <f t="array" ref="H547">D547*_xlfn.XLOOKUP(C547,Clean_Inventry_Master!A:A,Clean_Inventry_Master!E:E,NOT FOUND,0)</f>
        <v>1119.92</v>
      </c>
      <c r="I547" s="2">
        <f t="shared" si="25"/>
        <v>46174</v>
      </c>
      <c r="J547" t="str">
        <f t="shared" si="26"/>
        <v>Jun 2026</v>
      </c>
    </row>
    <row r="548" spans="1:10" x14ac:dyDescent="0.3">
      <c r="A548" t="s">
        <v>944</v>
      </c>
      <c r="B548" t="s">
        <v>945</v>
      </c>
      <c r="C548" t="s">
        <v>52</v>
      </c>
      <c r="D548" s="5">
        <v>9</v>
      </c>
      <c r="E548" t="s">
        <v>82</v>
      </c>
      <c r="F548" t="s">
        <v>78</v>
      </c>
      <c r="G548" s="2">
        <f t="shared" si="24"/>
        <v>46088</v>
      </c>
      <c r="H548" cm="1">
        <f t="array" ref="H548">D548*_xlfn.XLOOKUP(C548,Clean_Inventry_Master!A:A,Clean_Inventry_Master!E:E,NOT FOUND,0)</f>
        <v>269.90999999999997</v>
      </c>
      <c r="I548" s="2">
        <f t="shared" si="25"/>
        <v>46082</v>
      </c>
      <c r="J548" t="str">
        <f t="shared" si="26"/>
        <v>Mar 2026</v>
      </c>
    </row>
    <row r="549" spans="1:10" x14ac:dyDescent="0.3">
      <c r="A549" t="s">
        <v>947</v>
      </c>
      <c r="B549" t="s">
        <v>948</v>
      </c>
      <c r="C549" t="s">
        <v>39</v>
      </c>
      <c r="D549" s="5">
        <v>2</v>
      </c>
      <c r="E549" t="s">
        <v>1308</v>
      </c>
      <c r="F549" t="s">
        <v>78</v>
      </c>
      <c r="G549" s="2">
        <f t="shared" si="24"/>
        <v>46263</v>
      </c>
      <c r="H549" cm="1">
        <f t="array" ref="H549">D549*_xlfn.XLOOKUP(C549,Clean_Inventry_Master!A:A,Clean_Inventry_Master!E:E,NOT FOUND,0)</f>
        <v>43.98</v>
      </c>
      <c r="I549" s="2">
        <f t="shared" si="25"/>
        <v>46235</v>
      </c>
      <c r="J549" t="str">
        <f t="shared" si="26"/>
        <v>Aug 2026</v>
      </c>
    </row>
    <row r="550" spans="1:10" x14ac:dyDescent="0.3">
      <c r="A550" t="s">
        <v>949</v>
      </c>
      <c r="B550" t="s">
        <v>815</v>
      </c>
      <c r="C550" t="s">
        <v>20</v>
      </c>
      <c r="D550" s="5">
        <v>12</v>
      </c>
      <c r="E550" t="s">
        <v>91</v>
      </c>
      <c r="F550" t="s">
        <v>83</v>
      </c>
      <c r="G550" s="2">
        <f t="shared" si="24"/>
        <v>46225</v>
      </c>
      <c r="H550" cm="1">
        <f t="array" ref="H550">D550*_xlfn.XLOOKUP(C550,Clean_Inventry_Master!A:A,Clean_Inventry_Master!E:E,NOT FOUND,0)</f>
        <v>959.87999999999988</v>
      </c>
      <c r="I550" s="2">
        <f t="shared" si="25"/>
        <v>46204</v>
      </c>
      <c r="J550" t="str">
        <f t="shared" si="26"/>
        <v>Jul 2026</v>
      </c>
    </row>
    <row r="551" spans="1:10" x14ac:dyDescent="0.3">
      <c r="A551" t="s">
        <v>950</v>
      </c>
      <c r="B551" t="s">
        <v>326</v>
      </c>
      <c r="C551" t="s">
        <v>31</v>
      </c>
      <c r="D551" s="5">
        <v>9</v>
      </c>
      <c r="E551" t="s">
        <v>77</v>
      </c>
      <c r="F551" t="s">
        <v>83</v>
      </c>
      <c r="G551" s="2">
        <f t="shared" si="24"/>
        <v>46087</v>
      </c>
      <c r="H551" cm="1">
        <f t="array" ref="H551">D551*_xlfn.XLOOKUP(C551,Clean_Inventry_Master!A:A,Clean_Inventry_Master!E:E,NOT FOUND,0)</f>
        <v>135</v>
      </c>
      <c r="I551" s="2">
        <f t="shared" si="25"/>
        <v>46082</v>
      </c>
      <c r="J551" t="str">
        <f t="shared" si="26"/>
        <v>Mar 2026</v>
      </c>
    </row>
    <row r="552" spans="1:10" x14ac:dyDescent="0.3">
      <c r="A552" t="s">
        <v>951</v>
      </c>
      <c r="B552" t="s">
        <v>610</v>
      </c>
      <c r="C552" t="s">
        <v>35</v>
      </c>
      <c r="D552" s="5">
        <v>2</v>
      </c>
      <c r="E552" t="s">
        <v>82</v>
      </c>
      <c r="F552" t="s">
        <v>78</v>
      </c>
      <c r="G552" s="2">
        <f t="shared" si="24"/>
        <v>46293</v>
      </c>
      <c r="H552" cm="1">
        <f t="array" ref="H552">D552*_xlfn.XLOOKUP(C552,Clean_Inventry_Master!A:A,Clean_Inventry_Master!E:E,NOT FOUND,0)</f>
        <v>19.98</v>
      </c>
      <c r="I552" s="2">
        <f t="shared" si="25"/>
        <v>46266</v>
      </c>
      <c r="J552" t="str">
        <f t="shared" si="26"/>
        <v>Sep 2026</v>
      </c>
    </row>
    <row r="553" spans="1:10" x14ac:dyDescent="0.3">
      <c r="A553" t="s">
        <v>952</v>
      </c>
      <c r="B553" t="s">
        <v>130</v>
      </c>
      <c r="C553" t="s">
        <v>12</v>
      </c>
      <c r="D553" s="5">
        <v>2</v>
      </c>
      <c r="E553" t="s">
        <v>91</v>
      </c>
      <c r="F553" t="s">
        <v>78</v>
      </c>
      <c r="G553" s="2">
        <f t="shared" si="24"/>
        <v>46199</v>
      </c>
      <c r="H553" cm="1">
        <f t="array" ref="H553">D553*_xlfn.XLOOKUP(C553,Clean_Inventry_Master!A:A,Clean_Inventry_Master!E:E,NOT FOUND,0)</f>
        <v>190</v>
      </c>
      <c r="I553" s="2">
        <f t="shared" si="25"/>
        <v>46174</v>
      </c>
      <c r="J553" t="str">
        <f t="shared" si="26"/>
        <v>Jun 2026</v>
      </c>
    </row>
    <row r="554" spans="1:10" x14ac:dyDescent="0.3">
      <c r="A554" t="s">
        <v>953</v>
      </c>
      <c r="B554" t="s">
        <v>954</v>
      </c>
      <c r="C554" t="s">
        <v>49</v>
      </c>
      <c r="D554" s="5">
        <v>13</v>
      </c>
      <c r="E554" t="s">
        <v>82</v>
      </c>
      <c r="F554" t="s">
        <v>78</v>
      </c>
      <c r="G554" s="2">
        <f t="shared" si="24"/>
        <v>46124</v>
      </c>
      <c r="H554" cm="1">
        <f t="array" ref="H554">D554*_xlfn.XLOOKUP(C554,Clean_Inventry_Master!A:A,Clean_Inventry_Master!E:E,NOT FOUND,0)</f>
        <v>649.87</v>
      </c>
      <c r="I554" s="2">
        <f t="shared" si="25"/>
        <v>46113</v>
      </c>
      <c r="J554" t="str">
        <f t="shared" si="26"/>
        <v>Apr 2026</v>
      </c>
    </row>
    <row r="555" spans="1:10" x14ac:dyDescent="0.3">
      <c r="A555" t="s">
        <v>955</v>
      </c>
      <c r="B555" t="s">
        <v>196</v>
      </c>
      <c r="C555" t="s">
        <v>60</v>
      </c>
      <c r="D555" s="5">
        <v>10</v>
      </c>
      <c r="E555" t="s">
        <v>82</v>
      </c>
      <c r="F555" t="s">
        <v>78</v>
      </c>
      <c r="G555" s="2">
        <f t="shared" si="24"/>
        <v>46265</v>
      </c>
      <c r="H555" cm="1">
        <f t="array" ref="H555">D555*_xlfn.XLOOKUP(C555,Clean_Inventry_Master!A:A,Clean_Inventry_Master!E:E,NOT FOUND,0)</f>
        <v>899.9</v>
      </c>
      <c r="I555" s="2">
        <f t="shared" si="25"/>
        <v>46235</v>
      </c>
      <c r="J555" t="str">
        <f t="shared" si="26"/>
        <v>Aug 2026</v>
      </c>
    </row>
    <row r="556" spans="1:10" x14ac:dyDescent="0.3">
      <c r="A556" t="s">
        <v>956</v>
      </c>
      <c r="B556" t="s">
        <v>370</v>
      </c>
      <c r="C556" t="s">
        <v>49</v>
      </c>
      <c r="D556" s="5">
        <v>13</v>
      </c>
      <c r="E556" t="s">
        <v>91</v>
      </c>
      <c r="F556" t="s">
        <v>83</v>
      </c>
      <c r="G556" s="2">
        <f t="shared" si="24"/>
        <v>46159</v>
      </c>
      <c r="H556" cm="1">
        <f t="array" ref="H556">D556*_xlfn.XLOOKUP(C556,Clean_Inventry_Master!A:A,Clean_Inventry_Master!E:E,NOT FOUND,0)</f>
        <v>649.87</v>
      </c>
      <c r="I556" s="2">
        <f t="shared" si="25"/>
        <v>46143</v>
      </c>
      <c r="J556" t="str">
        <f t="shared" si="26"/>
        <v>May 2026</v>
      </c>
    </row>
    <row r="557" spans="1:10" x14ac:dyDescent="0.3">
      <c r="A557" t="s">
        <v>957</v>
      </c>
      <c r="B557" t="s">
        <v>715</v>
      </c>
      <c r="C557" t="s">
        <v>26</v>
      </c>
      <c r="D557" s="5">
        <v>2</v>
      </c>
      <c r="E557" t="s">
        <v>77</v>
      </c>
      <c r="F557" t="s">
        <v>83</v>
      </c>
      <c r="G557" s="2">
        <f t="shared" si="24"/>
        <v>46028</v>
      </c>
      <c r="H557" cm="1">
        <f t="array" ref="H557">D557*_xlfn.XLOOKUP(C557,Clean_Inventry_Master!A:A,Clean_Inventry_Master!E:E,NOT FOUND,0)</f>
        <v>179.98</v>
      </c>
      <c r="I557" s="2">
        <f t="shared" si="25"/>
        <v>46023</v>
      </c>
      <c r="J557" t="str">
        <f t="shared" si="26"/>
        <v>Jan 2026</v>
      </c>
    </row>
    <row r="558" spans="1:10" x14ac:dyDescent="0.3">
      <c r="A558" t="s">
        <v>958</v>
      </c>
      <c r="B558" t="s">
        <v>296</v>
      </c>
      <c r="C558" t="s">
        <v>12</v>
      </c>
      <c r="D558" s="5">
        <v>11</v>
      </c>
      <c r="E558" t="s">
        <v>91</v>
      </c>
      <c r="F558" t="s">
        <v>83</v>
      </c>
      <c r="G558" s="2">
        <f t="shared" si="24"/>
        <v>46050</v>
      </c>
      <c r="H558" cm="1">
        <f t="array" ref="H558">D558*_xlfn.XLOOKUP(C558,Clean_Inventry_Master!A:A,Clean_Inventry_Master!E:E,NOT FOUND,0)</f>
        <v>1045</v>
      </c>
      <c r="I558" s="2">
        <f t="shared" si="25"/>
        <v>46023</v>
      </c>
      <c r="J558" t="str">
        <f t="shared" si="26"/>
        <v>Jan 2026</v>
      </c>
    </row>
    <row r="559" spans="1:10" x14ac:dyDescent="0.3">
      <c r="A559" t="s">
        <v>959</v>
      </c>
      <c r="B559" t="s">
        <v>647</v>
      </c>
      <c r="C559" t="s">
        <v>16</v>
      </c>
      <c r="D559" s="5">
        <v>3</v>
      </c>
      <c r="E559" t="s">
        <v>91</v>
      </c>
      <c r="F559" t="s">
        <v>92</v>
      </c>
      <c r="G559" s="2">
        <f t="shared" si="24"/>
        <v>46267</v>
      </c>
      <c r="H559" cm="1">
        <f t="array" ref="H559">D559*_xlfn.XLOOKUP(C559,Clean_Inventry_Master!A:A,Clean_Inventry_Master!E:E,NOT FOUND,0)</f>
        <v>687</v>
      </c>
      <c r="I559" s="2">
        <f t="shared" si="25"/>
        <v>46266</v>
      </c>
      <c r="J559" t="str">
        <f t="shared" si="26"/>
        <v>Sep 2026</v>
      </c>
    </row>
    <row r="560" spans="1:10" x14ac:dyDescent="0.3">
      <c r="A560" t="s">
        <v>960</v>
      </c>
      <c r="B560" t="s">
        <v>864</v>
      </c>
      <c r="C560" t="s">
        <v>26</v>
      </c>
      <c r="D560" s="5">
        <v>13</v>
      </c>
      <c r="E560" t="s">
        <v>82</v>
      </c>
      <c r="F560" t="s">
        <v>92</v>
      </c>
      <c r="G560" s="2">
        <f t="shared" si="24"/>
        <v>46260</v>
      </c>
      <c r="H560" cm="1">
        <f t="array" ref="H560">D560*_xlfn.XLOOKUP(C560,Clean_Inventry_Master!A:A,Clean_Inventry_Master!E:E,NOT FOUND,0)</f>
        <v>1169.8699999999999</v>
      </c>
      <c r="I560" s="2">
        <f t="shared" si="25"/>
        <v>46235</v>
      </c>
      <c r="J560" t="str">
        <f t="shared" si="26"/>
        <v>Aug 2026</v>
      </c>
    </row>
    <row r="561" spans="1:10" x14ac:dyDescent="0.3">
      <c r="A561" t="s">
        <v>961</v>
      </c>
      <c r="B561" t="s">
        <v>962</v>
      </c>
      <c r="C561" t="s">
        <v>60</v>
      </c>
      <c r="D561" s="5">
        <v>3</v>
      </c>
      <c r="E561" t="s">
        <v>77</v>
      </c>
      <c r="F561" t="s">
        <v>83</v>
      </c>
      <c r="G561" s="2">
        <f t="shared" si="24"/>
        <v>46132</v>
      </c>
      <c r="H561" cm="1">
        <f t="array" ref="H561">D561*_xlfn.XLOOKUP(C561,Clean_Inventry_Master!A:A,Clean_Inventry_Master!E:E,NOT FOUND,0)</f>
        <v>269.96999999999997</v>
      </c>
      <c r="I561" s="2">
        <f t="shared" si="25"/>
        <v>46113</v>
      </c>
      <c r="J561" t="str">
        <f t="shared" si="26"/>
        <v>Apr 2026</v>
      </c>
    </row>
    <row r="562" spans="1:10" x14ac:dyDescent="0.3">
      <c r="A562" t="s">
        <v>963</v>
      </c>
      <c r="B562" t="s">
        <v>748</v>
      </c>
      <c r="C562" t="s">
        <v>16</v>
      </c>
      <c r="D562" s="5">
        <v>6</v>
      </c>
      <c r="E562" t="s">
        <v>82</v>
      </c>
      <c r="F562" t="s">
        <v>78</v>
      </c>
      <c r="G562" s="2">
        <f t="shared" si="24"/>
        <v>46171</v>
      </c>
      <c r="H562" cm="1">
        <f t="array" ref="H562">D562*_xlfn.XLOOKUP(C562,Clean_Inventry_Master!A:A,Clean_Inventry_Master!E:E,NOT FOUND,0)</f>
        <v>1374</v>
      </c>
      <c r="I562" s="2">
        <f t="shared" si="25"/>
        <v>46143</v>
      </c>
      <c r="J562" t="str">
        <f t="shared" si="26"/>
        <v>May 2026</v>
      </c>
    </row>
    <row r="563" spans="1:10" x14ac:dyDescent="0.3">
      <c r="A563" t="s">
        <v>964</v>
      </c>
      <c r="B563" t="s">
        <v>338</v>
      </c>
      <c r="C563" t="s">
        <v>7</v>
      </c>
      <c r="D563" s="5">
        <v>4</v>
      </c>
      <c r="E563" t="s">
        <v>77</v>
      </c>
      <c r="F563" t="s">
        <v>78</v>
      </c>
      <c r="G563" s="2">
        <f t="shared" si="24"/>
        <v>46093</v>
      </c>
      <c r="H563" cm="1">
        <f t="array" ref="H563">D563*_xlfn.XLOOKUP(C563,Clean_Inventry_Master!A:A,Clean_Inventry_Master!E:E,NOT FOUND,0)</f>
        <v>180</v>
      </c>
      <c r="I563" s="2">
        <f t="shared" si="25"/>
        <v>46082</v>
      </c>
      <c r="J563" t="str">
        <f t="shared" si="26"/>
        <v>Mar 2026</v>
      </c>
    </row>
    <row r="564" spans="1:10" x14ac:dyDescent="0.3">
      <c r="A564" t="s">
        <v>965</v>
      </c>
      <c r="B564" t="s">
        <v>966</v>
      </c>
      <c r="C564" t="s">
        <v>16</v>
      </c>
      <c r="D564" s="5">
        <v>12</v>
      </c>
      <c r="E564" t="s">
        <v>77</v>
      </c>
      <c r="F564" t="s">
        <v>83</v>
      </c>
      <c r="G564" s="2">
        <f t="shared" si="24"/>
        <v>46234</v>
      </c>
      <c r="H564" cm="1">
        <f t="array" ref="H564">D564*_xlfn.XLOOKUP(C564,Clean_Inventry_Master!A:A,Clean_Inventry_Master!E:E,NOT FOUND,0)</f>
        <v>2748</v>
      </c>
      <c r="I564" s="2">
        <f t="shared" si="25"/>
        <v>46204</v>
      </c>
      <c r="J564" t="str">
        <f t="shared" si="26"/>
        <v>Jul 2026</v>
      </c>
    </row>
    <row r="565" spans="1:10" x14ac:dyDescent="0.3">
      <c r="A565" t="s">
        <v>967</v>
      </c>
      <c r="B565" t="s">
        <v>344</v>
      </c>
      <c r="C565" t="s">
        <v>68</v>
      </c>
      <c r="D565" s="5">
        <v>5</v>
      </c>
      <c r="E565" t="s">
        <v>82</v>
      </c>
      <c r="F565" t="s">
        <v>92</v>
      </c>
      <c r="G565" s="2">
        <f t="shared" si="24"/>
        <v>46103</v>
      </c>
      <c r="H565" cm="1">
        <f t="array" ref="H565">D565*_xlfn.XLOOKUP(C565,Clean_Inventry_Master!A:A,Clean_Inventry_Master!E:E,NOT FOUND,0)</f>
        <v>212.5</v>
      </c>
      <c r="I565" s="2">
        <f t="shared" si="25"/>
        <v>46082</v>
      </c>
      <c r="J565" t="str">
        <f t="shared" si="26"/>
        <v>Mar 2026</v>
      </c>
    </row>
    <row r="566" spans="1:10" x14ac:dyDescent="0.3">
      <c r="A566" t="s">
        <v>968</v>
      </c>
      <c r="B566" t="s">
        <v>309</v>
      </c>
      <c r="C566" t="s">
        <v>7</v>
      </c>
      <c r="D566" s="5">
        <v>4</v>
      </c>
      <c r="E566" t="s">
        <v>82</v>
      </c>
      <c r="F566" t="s">
        <v>92</v>
      </c>
      <c r="G566" s="2">
        <f t="shared" si="24"/>
        <v>46178</v>
      </c>
      <c r="H566" cm="1">
        <f t="array" ref="H566">D566*_xlfn.XLOOKUP(C566,Clean_Inventry_Master!A:A,Clean_Inventry_Master!E:E,NOT FOUND,0)</f>
        <v>180</v>
      </c>
      <c r="I566" s="2">
        <f t="shared" si="25"/>
        <v>46174</v>
      </c>
      <c r="J566" t="str">
        <f t="shared" si="26"/>
        <v>Jun 2026</v>
      </c>
    </row>
    <row r="567" spans="1:10" x14ac:dyDescent="0.3">
      <c r="A567" t="s">
        <v>969</v>
      </c>
      <c r="B567" t="s">
        <v>585</v>
      </c>
      <c r="C567" t="s">
        <v>16</v>
      </c>
      <c r="D567" s="5">
        <v>6</v>
      </c>
      <c r="E567" t="s">
        <v>91</v>
      </c>
      <c r="F567" t="s">
        <v>92</v>
      </c>
      <c r="G567" s="2">
        <f t="shared" si="24"/>
        <v>46132</v>
      </c>
      <c r="H567" cm="1">
        <f t="array" ref="H567">D567*_xlfn.XLOOKUP(C567,Clean_Inventry_Master!A:A,Clean_Inventry_Master!E:E,NOT FOUND,0)</f>
        <v>1374</v>
      </c>
      <c r="I567" s="2">
        <f t="shared" si="25"/>
        <v>46113</v>
      </c>
      <c r="J567" t="str">
        <f t="shared" si="26"/>
        <v>Apr 2026</v>
      </c>
    </row>
    <row r="568" spans="1:10" x14ac:dyDescent="0.3">
      <c r="A568" t="s">
        <v>970</v>
      </c>
      <c r="B568" t="s">
        <v>205</v>
      </c>
      <c r="C568" t="s">
        <v>54</v>
      </c>
      <c r="D568" s="5">
        <v>8</v>
      </c>
      <c r="E568" t="s">
        <v>1308</v>
      </c>
      <c r="F568" t="s">
        <v>83</v>
      </c>
      <c r="G568" s="2">
        <f t="shared" si="24"/>
        <v>46124</v>
      </c>
      <c r="H568" cm="1">
        <f t="array" ref="H568">D568*_xlfn.XLOOKUP(C568,Clean_Inventry_Master!A:A,Clean_Inventry_Master!E:E,NOT FOUND,0)</f>
        <v>2799.92</v>
      </c>
      <c r="I568" s="2">
        <f t="shared" si="25"/>
        <v>46113</v>
      </c>
      <c r="J568" t="str">
        <f t="shared" si="26"/>
        <v>Apr 2026</v>
      </c>
    </row>
    <row r="569" spans="1:10" x14ac:dyDescent="0.3">
      <c r="A569" t="s">
        <v>971</v>
      </c>
      <c r="B569" t="s">
        <v>236</v>
      </c>
      <c r="C569" t="s">
        <v>7</v>
      </c>
      <c r="D569" s="5">
        <v>8</v>
      </c>
      <c r="E569" t="s">
        <v>82</v>
      </c>
      <c r="F569" t="s">
        <v>92</v>
      </c>
      <c r="G569" s="2">
        <f t="shared" si="24"/>
        <v>46110</v>
      </c>
      <c r="H569" cm="1">
        <f t="array" ref="H569">D569*_xlfn.XLOOKUP(C569,Clean_Inventry_Master!A:A,Clean_Inventry_Master!E:E,NOT FOUND,0)</f>
        <v>360</v>
      </c>
      <c r="I569" s="2">
        <f t="shared" si="25"/>
        <v>46082</v>
      </c>
      <c r="J569" t="str">
        <f t="shared" si="26"/>
        <v>Mar 2026</v>
      </c>
    </row>
    <row r="570" spans="1:10" x14ac:dyDescent="0.3">
      <c r="A570" t="s">
        <v>972</v>
      </c>
      <c r="B570" t="s">
        <v>372</v>
      </c>
      <c r="C570" t="s">
        <v>47</v>
      </c>
      <c r="D570" s="5">
        <v>6</v>
      </c>
      <c r="E570" t="s">
        <v>1308</v>
      </c>
      <c r="F570" t="s">
        <v>83</v>
      </c>
      <c r="G570" s="2">
        <f t="shared" si="24"/>
        <v>46198</v>
      </c>
      <c r="H570" cm="1">
        <f t="array" ref="H570">D570*_xlfn.XLOOKUP(C570,Clean_Inventry_Master!A:A,Clean_Inventry_Master!E:E,NOT FOUND,0)</f>
        <v>779.94</v>
      </c>
      <c r="I570" s="2">
        <f t="shared" si="25"/>
        <v>46174</v>
      </c>
      <c r="J570" t="str">
        <f t="shared" si="26"/>
        <v>Jun 2026</v>
      </c>
    </row>
    <row r="571" spans="1:10" x14ac:dyDescent="0.3">
      <c r="A571" t="s">
        <v>973</v>
      </c>
      <c r="B571" t="s">
        <v>469</v>
      </c>
      <c r="C571" t="s">
        <v>52</v>
      </c>
      <c r="D571" s="5">
        <v>4</v>
      </c>
      <c r="E571" t="s">
        <v>77</v>
      </c>
      <c r="F571" t="s">
        <v>92</v>
      </c>
      <c r="G571" s="2">
        <f t="shared" si="24"/>
        <v>46208</v>
      </c>
      <c r="H571" cm="1">
        <f t="array" ref="H571">D571*_xlfn.XLOOKUP(C571,Clean_Inventry_Master!A:A,Clean_Inventry_Master!E:E,NOT FOUND,0)</f>
        <v>119.96</v>
      </c>
      <c r="I571" s="2">
        <f t="shared" si="25"/>
        <v>46204</v>
      </c>
      <c r="J571" t="str">
        <f t="shared" si="26"/>
        <v>Jul 2026</v>
      </c>
    </row>
    <row r="572" spans="1:10" x14ac:dyDescent="0.3">
      <c r="A572" t="s">
        <v>974</v>
      </c>
      <c r="B572" t="s">
        <v>641</v>
      </c>
      <c r="C572" t="s">
        <v>31</v>
      </c>
      <c r="D572" s="5">
        <v>4</v>
      </c>
      <c r="E572" t="s">
        <v>82</v>
      </c>
      <c r="F572" t="s">
        <v>92</v>
      </c>
      <c r="G572" s="2">
        <f t="shared" si="24"/>
        <v>46247</v>
      </c>
      <c r="H572" cm="1">
        <f t="array" ref="H572">D572*_xlfn.XLOOKUP(C572,Clean_Inventry_Master!A:A,Clean_Inventry_Master!E:E,NOT FOUND,0)</f>
        <v>60</v>
      </c>
      <c r="I572" s="2">
        <f t="shared" si="25"/>
        <v>46235</v>
      </c>
      <c r="J572" t="str">
        <f t="shared" si="26"/>
        <v>Aug 2026</v>
      </c>
    </row>
    <row r="573" spans="1:10" x14ac:dyDescent="0.3">
      <c r="A573" t="s">
        <v>975</v>
      </c>
      <c r="B573" t="s">
        <v>896</v>
      </c>
      <c r="C573" t="s">
        <v>49</v>
      </c>
      <c r="D573" s="5">
        <v>6</v>
      </c>
      <c r="E573" t="s">
        <v>82</v>
      </c>
      <c r="F573" t="s">
        <v>92</v>
      </c>
      <c r="G573" s="2">
        <f t="shared" si="24"/>
        <v>46187</v>
      </c>
      <c r="H573" cm="1">
        <f t="array" ref="H573">D573*_xlfn.XLOOKUP(C573,Clean_Inventry_Master!A:A,Clean_Inventry_Master!E:E,NOT FOUND,0)</f>
        <v>299.94</v>
      </c>
      <c r="I573" s="2">
        <f t="shared" si="25"/>
        <v>46174</v>
      </c>
      <c r="J573" t="str">
        <f t="shared" si="26"/>
        <v>Jun 2026</v>
      </c>
    </row>
    <row r="574" spans="1:10" x14ac:dyDescent="0.3">
      <c r="A574" t="s">
        <v>976</v>
      </c>
      <c r="B574" t="s">
        <v>201</v>
      </c>
      <c r="C574" t="s">
        <v>12</v>
      </c>
      <c r="D574" s="5">
        <v>13</v>
      </c>
      <c r="E574" t="s">
        <v>91</v>
      </c>
      <c r="F574" t="s">
        <v>92</v>
      </c>
      <c r="G574" s="2">
        <f t="shared" si="24"/>
        <v>46238</v>
      </c>
      <c r="H574" cm="1">
        <f t="array" ref="H574">D574*_xlfn.XLOOKUP(C574,Clean_Inventry_Master!A:A,Clean_Inventry_Master!E:E,NOT FOUND,0)</f>
        <v>1235</v>
      </c>
      <c r="I574" s="2">
        <f t="shared" si="25"/>
        <v>46235</v>
      </c>
      <c r="J574" t="str">
        <f t="shared" si="26"/>
        <v>Aug 2026</v>
      </c>
    </row>
    <row r="575" spans="1:10" x14ac:dyDescent="0.3">
      <c r="A575" t="s">
        <v>977</v>
      </c>
      <c r="B575" t="s">
        <v>899</v>
      </c>
      <c r="C575" t="s">
        <v>35</v>
      </c>
      <c r="D575" s="5">
        <v>10</v>
      </c>
      <c r="E575" t="s">
        <v>77</v>
      </c>
      <c r="F575" t="s">
        <v>92</v>
      </c>
      <c r="G575" s="2">
        <f t="shared" si="24"/>
        <v>46026</v>
      </c>
      <c r="H575" cm="1">
        <f t="array" ref="H575">D575*_xlfn.XLOOKUP(C575,Clean_Inventry_Master!A:A,Clean_Inventry_Master!E:E,NOT FOUND,0)</f>
        <v>99.9</v>
      </c>
      <c r="I575" s="2">
        <f t="shared" si="25"/>
        <v>46023</v>
      </c>
      <c r="J575" t="str">
        <f t="shared" si="26"/>
        <v>Jan 2026</v>
      </c>
    </row>
    <row r="576" spans="1:10" x14ac:dyDescent="0.3">
      <c r="A576" t="s">
        <v>978</v>
      </c>
      <c r="B576" t="s">
        <v>979</v>
      </c>
      <c r="C576" t="s">
        <v>28</v>
      </c>
      <c r="D576" s="5">
        <v>10</v>
      </c>
      <c r="E576" t="s">
        <v>82</v>
      </c>
      <c r="F576" t="s">
        <v>83</v>
      </c>
      <c r="G576" s="2">
        <f t="shared" si="24"/>
        <v>46079</v>
      </c>
      <c r="H576" cm="1">
        <f t="array" ref="H576">D576*_xlfn.XLOOKUP(C576,Clean_Inventry_Master!A:A,Clean_Inventry_Master!E:E,NOT FOUND,0)</f>
        <v>1800</v>
      </c>
      <c r="I576" s="2">
        <f t="shared" si="25"/>
        <v>46054</v>
      </c>
      <c r="J576" t="str">
        <f t="shared" si="26"/>
        <v>Feb 2026</v>
      </c>
    </row>
    <row r="577" spans="1:10" x14ac:dyDescent="0.3">
      <c r="A577" t="s">
        <v>980</v>
      </c>
      <c r="B577" t="s">
        <v>444</v>
      </c>
      <c r="C577" t="s">
        <v>54</v>
      </c>
      <c r="D577" s="5">
        <v>7</v>
      </c>
      <c r="E577" t="s">
        <v>77</v>
      </c>
      <c r="F577" t="s">
        <v>78</v>
      </c>
      <c r="G577" s="2">
        <f t="shared" si="24"/>
        <v>46201</v>
      </c>
      <c r="H577" cm="1">
        <f t="array" ref="H577">D577*_xlfn.XLOOKUP(C577,Clean_Inventry_Master!A:A,Clean_Inventry_Master!E:E,NOT FOUND,0)</f>
        <v>2449.9300000000003</v>
      </c>
      <c r="I577" s="2">
        <f t="shared" si="25"/>
        <v>46174</v>
      </c>
      <c r="J577" t="str">
        <f t="shared" si="26"/>
        <v>Jun 2026</v>
      </c>
    </row>
    <row r="578" spans="1:10" x14ac:dyDescent="0.3">
      <c r="A578" t="s">
        <v>981</v>
      </c>
      <c r="B578" t="s">
        <v>668</v>
      </c>
      <c r="C578" t="s">
        <v>33</v>
      </c>
      <c r="D578" s="5">
        <v>11</v>
      </c>
      <c r="E578" t="s">
        <v>91</v>
      </c>
      <c r="F578" t="s">
        <v>83</v>
      </c>
      <c r="G578" s="2">
        <f t="shared" ref="G578:G641" si="27">IF(ISNUMBER(SEARCH("-", B578)), DATEVALUE(B578), DATE(RIGHT(B578,4), LEFT(B578, FIND("/", B578)-1), MID(B578, FIND("/", B578)+1, FIND("/", B578, FIND("/", B578)+1) - FIND("/", B578) - 1)))</f>
        <v>46219</v>
      </c>
      <c r="H578" cm="1">
        <f t="array" ref="H578">D578*_xlfn.XLOOKUP(C578,Clean_Inventry_Master!A:A,Clean_Inventry_Master!E:E,NOT FOUND,0)</f>
        <v>264</v>
      </c>
      <c r="I578" s="2">
        <f t="shared" ref="I578:I641" si="28">DATE(YEAR(G578),MONTH(G578),1)</f>
        <v>46204</v>
      </c>
      <c r="J578" t="str">
        <f t="shared" ref="J578:J641" si="29">TEXT(I578,"mmm yyyy")</f>
        <v>Jul 2026</v>
      </c>
    </row>
    <row r="579" spans="1:10" x14ac:dyDescent="0.3">
      <c r="A579" t="s">
        <v>982</v>
      </c>
      <c r="B579" t="s">
        <v>100</v>
      </c>
      <c r="C579" t="s">
        <v>35</v>
      </c>
      <c r="D579" s="5">
        <v>14</v>
      </c>
      <c r="E579" t="s">
        <v>77</v>
      </c>
      <c r="F579" t="s">
        <v>92</v>
      </c>
      <c r="G579" s="2">
        <f t="shared" si="27"/>
        <v>46126</v>
      </c>
      <c r="H579" cm="1">
        <f t="array" ref="H579">D579*_xlfn.XLOOKUP(C579,Clean_Inventry_Master!A:A,Clean_Inventry_Master!E:E,NOT FOUND,0)</f>
        <v>139.86000000000001</v>
      </c>
      <c r="I579" s="2">
        <f t="shared" si="28"/>
        <v>46113</v>
      </c>
      <c r="J579" t="str">
        <f t="shared" si="29"/>
        <v>Apr 2026</v>
      </c>
    </row>
    <row r="580" spans="1:10" x14ac:dyDescent="0.3">
      <c r="A580" t="s">
        <v>983</v>
      </c>
      <c r="B580" t="s">
        <v>286</v>
      </c>
      <c r="C580" t="s">
        <v>41</v>
      </c>
      <c r="D580" s="5">
        <v>6</v>
      </c>
      <c r="E580" t="s">
        <v>77</v>
      </c>
      <c r="F580" t="s">
        <v>83</v>
      </c>
      <c r="G580" s="2">
        <f t="shared" si="27"/>
        <v>46230</v>
      </c>
      <c r="H580" cm="1">
        <f t="array" ref="H580">D580*_xlfn.XLOOKUP(C580,Clean_Inventry_Master!A:A,Clean_Inventry_Master!E:E,NOT FOUND,0)</f>
        <v>239.94</v>
      </c>
      <c r="I580" s="2">
        <f t="shared" si="28"/>
        <v>46204</v>
      </c>
      <c r="J580" t="str">
        <f t="shared" si="29"/>
        <v>Jul 2026</v>
      </c>
    </row>
    <row r="581" spans="1:10" x14ac:dyDescent="0.3">
      <c r="A581" t="s">
        <v>984</v>
      </c>
      <c r="B581" t="s">
        <v>562</v>
      </c>
      <c r="C581" t="s">
        <v>68</v>
      </c>
      <c r="D581" s="5">
        <v>14</v>
      </c>
      <c r="E581" t="s">
        <v>91</v>
      </c>
      <c r="F581" t="s">
        <v>83</v>
      </c>
      <c r="G581" s="2">
        <f t="shared" si="27"/>
        <v>46135</v>
      </c>
      <c r="H581" cm="1">
        <f t="array" ref="H581">D581*_xlfn.XLOOKUP(C581,Clean_Inventry_Master!A:A,Clean_Inventry_Master!E:E,NOT FOUND,0)</f>
        <v>595</v>
      </c>
      <c r="I581" s="2">
        <f t="shared" si="28"/>
        <v>46113</v>
      </c>
      <c r="J581" t="str">
        <f t="shared" si="29"/>
        <v>Apr 2026</v>
      </c>
    </row>
    <row r="582" spans="1:10" x14ac:dyDescent="0.3">
      <c r="A582" t="s">
        <v>985</v>
      </c>
      <c r="B582" t="s">
        <v>846</v>
      </c>
      <c r="C582" t="s">
        <v>12</v>
      </c>
      <c r="D582" s="5">
        <v>3</v>
      </c>
      <c r="E582" t="s">
        <v>1308</v>
      </c>
      <c r="F582" t="s">
        <v>78</v>
      </c>
      <c r="G582" s="2">
        <f t="shared" si="27"/>
        <v>46100</v>
      </c>
      <c r="H582" cm="1">
        <f t="array" ref="H582">D582*_xlfn.XLOOKUP(C582,Clean_Inventry_Master!A:A,Clean_Inventry_Master!E:E,NOT FOUND,0)</f>
        <v>285</v>
      </c>
      <c r="I582" s="2">
        <f t="shared" si="28"/>
        <v>46082</v>
      </c>
      <c r="J582" t="str">
        <f t="shared" si="29"/>
        <v>Mar 2026</v>
      </c>
    </row>
    <row r="583" spans="1:10" x14ac:dyDescent="0.3">
      <c r="A583" t="s">
        <v>986</v>
      </c>
      <c r="B583" t="s">
        <v>668</v>
      </c>
      <c r="C583" t="s">
        <v>54</v>
      </c>
      <c r="D583" s="5">
        <v>6</v>
      </c>
      <c r="E583" t="s">
        <v>77</v>
      </c>
      <c r="F583" t="s">
        <v>78</v>
      </c>
      <c r="G583" s="2">
        <f t="shared" si="27"/>
        <v>46219</v>
      </c>
      <c r="H583" cm="1">
        <f t="array" ref="H583">D583*_xlfn.XLOOKUP(C583,Clean_Inventry_Master!A:A,Clean_Inventry_Master!E:E,NOT FOUND,0)</f>
        <v>2099.94</v>
      </c>
      <c r="I583" s="2">
        <f t="shared" si="28"/>
        <v>46204</v>
      </c>
      <c r="J583" t="str">
        <f t="shared" si="29"/>
        <v>Jul 2026</v>
      </c>
    </row>
    <row r="584" spans="1:10" x14ac:dyDescent="0.3">
      <c r="A584" t="s">
        <v>987</v>
      </c>
      <c r="B584" t="s">
        <v>988</v>
      </c>
      <c r="C584" t="s">
        <v>28</v>
      </c>
      <c r="D584" s="5">
        <v>9</v>
      </c>
      <c r="E584" t="s">
        <v>77</v>
      </c>
      <c r="F584" t="s">
        <v>83</v>
      </c>
      <c r="G584" s="2">
        <f t="shared" si="27"/>
        <v>46122</v>
      </c>
      <c r="H584" cm="1">
        <f t="array" ref="H584">D584*_xlfn.XLOOKUP(C584,Clean_Inventry_Master!A:A,Clean_Inventry_Master!E:E,NOT FOUND,0)</f>
        <v>1620</v>
      </c>
      <c r="I584" s="2">
        <f t="shared" si="28"/>
        <v>46113</v>
      </c>
      <c r="J584" t="str">
        <f t="shared" si="29"/>
        <v>Apr 2026</v>
      </c>
    </row>
    <row r="585" spans="1:10" x14ac:dyDescent="0.3">
      <c r="A585" t="s">
        <v>989</v>
      </c>
      <c r="B585" t="s">
        <v>406</v>
      </c>
      <c r="C585" t="s">
        <v>64</v>
      </c>
      <c r="D585" s="5">
        <v>2</v>
      </c>
      <c r="E585" t="s">
        <v>91</v>
      </c>
      <c r="F585" t="s">
        <v>92</v>
      </c>
      <c r="G585" s="2">
        <f t="shared" si="27"/>
        <v>46033</v>
      </c>
      <c r="H585" cm="1">
        <f t="array" ref="H585">D585*_xlfn.XLOOKUP(C585,Clean_Inventry_Master!A:A,Clean_Inventry_Master!E:E,NOT FOUND,0)</f>
        <v>39.979999999999997</v>
      </c>
      <c r="I585" s="2">
        <f t="shared" si="28"/>
        <v>46023</v>
      </c>
      <c r="J585" t="str">
        <f t="shared" si="29"/>
        <v>Jan 2026</v>
      </c>
    </row>
    <row r="586" spans="1:10" x14ac:dyDescent="0.3">
      <c r="A586" t="s">
        <v>990</v>
      </c>
      <c r="B586" t="s">
        <v>175</v>
      </c>
      <c r="C586" t="s">
        <v>66</v>
      </c>
      <c r="D586" s="5">
        <v>2</v>
      </c>
      <c r="E586" t="s">
        <v>82</v>
      </c>
      <c r="F586" t="s">
        <v>92</v>
      </c>
      <c r="G586" s="2">
        <f t="shared" si="27"/>
        <v>46175</v>
      </c>
      <c r="H586" cm="1">
        <f t="array" ref="H586">D586*_xlfn.XLOOKUP(C586,Clean_Inventry_Master!A:A,Clean_Inventry_Master!E:E,NOT FOUND,0)</f>
        <v>69.98</v>
      </c>
      <c r="I586" s="2">
        <f t="shared" si="28"/>
        <v>46174</v>
      </c>
      <c r="J586" t="str">
        <f t="shared" si="29"/>
        <v>Jun 2026</v>
      </c>
    </row>
    <row r="587" spans="1:10" x14ac:dyDescent="0.3">
      <c r="A587" t="s">
        <v>991</v>
      </c>
      <c r="B587" t="s">
        <v>408</v>
      </c>
      <c r="C587" t="s">
        <v>20</v>
      </c>
      <c r="D587" s="5">
        <v>6</v>
      </c>
      <c r="E587" t="s">
        <v>91</v>
      </c>
      <c r="F587" t="s">
        <v>92</v>
      </c>
      <c r="G587" s="2">
        <f t="shared" si="27"/>
        <v>46138</v>
      </c>
      <c r="H587" cm="1">
        <f t="array" ref="H587">D587*_xlfn.XLOOKUP(C587,Clean_Inventry_Master!A:A,Clean_Inventry_Master!E:E,NOT FOUND,0)</f>
        <v>479.93999999999994</v>
      </c>
      <c r="I587" s="2">
        <f t="shared" si="28"/>
        <v>46113</v>
      </c>
      <c r="J587" t="str">
        <f t="shared" si="29"/>
        <v>Apr 2026</v>
      </c>
    </row>
    <row r="588" spans="1:10" x14ac:dyDescent="0.3">
      <c r="A588" t="s">
        <v>992</v>
      </c>
      <c r="B588" t="s">
        <v>663</v>
      </c>
      <c r="C588" t="s">
        <v>64</v>
      </c>
      <c r="D588" s="5">
        <v>10</v>
      </c>
      <c r="E588" t="s">
        <v>77</v>
      </c>
      <c r="F588" t="s">
        <v>78</v>
      </c>
      <c r="G588" s="2">
        <f t="shared" si="27"/>
        <v>46090</v>
      </c>
      <c r="H588" cm="1">
        <f t="array" ref="H588">D588*_xlfn.XLOOKUP(C588,Clean_Inventry_Master!A:A,Clean_Inventry_Master!E:E,NOT FOUND,0)</f>
        <v>199.89999999999998</v>
      </c>
      <c r="I588" s="2">
        <f t="shared" si="28"/>
        <v>46082</v>
      </c>
      <c r="J588" t="str">
        <f t="shared" si="29"/>
        <v>Mar 2026</v>
      </c>
    </row>
    <row r="589" spans="1:10" x14ac:dyDescent="0.3">
      <c r="A589" t="s">
        <v>993</v>
      </c>
      <c r="B589" t="s">
        <v>512</v>
      </c>
      <c r="C589" t="s">
        <v>54</v>
      </c>
      <c r="D589" s="5">
        <v>6</v>
      </c>
      <c r="E589" t="s">
        <v>91</v>
      </c>
      <c r="F589" t="s">
        <v>83</v>
      </c>
      <c r="G589" s="2">
        <f t="shared" si="27"/>
        <v>46292</v>
      </c>
      <c r="H589" cm="1">
        <f t="array" ref="H589">D589*_xlfn.XLOOKUP(C589,Clean_Inventry_Master!A:A,Clean_Inventry_Master!E:E,NOT FOUND,0)</f>
        <v>2099.94</v>
      </c>
      <c r="I589" s="2">
        <f t="shared" si="28"/>
        <v>46266</v>
      </c>
      <c r="J589" t="str">
        <f t="shared" si="29"/>
        <v>Sep 2026</v>
      </c>
    </row>
    <row r="590" spans="1:10" x14ac:dyDescent="0.3">
      <c r="A590" t="s">
        <v>994</v>
      </c>
      <c r="B590" t="s">
        <v>322</v>
      </c>
      <c r="C590" t="s">
        <v>43</v>
      </c>
      <c r="D590" s="5">
        <v>7</v>
      </c>
      <c r="E590" t="s">
        <v>82</v>
      </c>
      <c r="F590" t="s">
        <v>83</v>
      </c>
      <c r="G590" s="2">
        <f t="shared" si="27"/>
        <v>46228</v>
      </c>
      <c r="H590" cm="1">
        <f t="array" ref="H590">D590*_xlfn.XLOOKUP(C590,Clean_Inventry_Master!A:A,Clean_Inventry_Master!E:E,NOT FOUND,0)</f>
        <v>59.5</v>
      </c>
      <c r="I590" s="2">
        <f t="shared" si="28"/>
        <v>46204</v>
      </c>
      <c r="J590" t="str">
        <f t="shared" si="29"/>
        <v>Jul 2026</v>
      </c>
    </row>
    <row r="591" spans="1:10" x14ac:dyDescent="0.3">
      <c r="A591" t="s">
        <v>995</v>
      </c>
      <c r="B591" t="s">
        <v>996</v>
      </c>
      <c r="C591" t="s">
        <v>37</v>
      </c>
      <c r="D591" s="5">
        <v>12</v>
      </c>
      <c r="E591" t="s">
        <v>1308</v>
      </c>
      <c r="F591" t="s">
        <v>78</v>
      </c>
      <c r="G591" s="2">
        <f t="shared" si="27"/>
        <v>46095</v>
      </c>
      <c r="H591" cm="1">
        <f t="array" ref="H591">D591*_xlfn.XLOOKUP(C591,Clean_Inventry_Master!A:A,Clean_Inventry_Master!E:E,NOT FOUND,0)</f>
        <v>540</v>
      </c>
      <c r="I591" s="2">
        <f t="shared" si="28"/>
        <v>46082</v>
      </c>
      <c r="J591" t="str">
        <f t="shared" si="29"/>
        <v>Mar 2026</v>
      </c>
    </row>
    <row r="592" spans="1:10" x14ac:dyDescent="0.3">
      <c r="A592" t="s">
        <v>997</v>
      </c>
      <c r="B592" t="s">
        <v>218</v>
      </c>
      <c r="C592" t="s">
        <v>16</v>
      </c>
      <c r="D592" s="5">
        <v>12</v>
      </c>
      <c r="E592" t="s">
        <v>91</v>
      </c>
      <c r="F592" t="s">
        <v>83</v>
      </c>
      <c r="G592" s="2">
        <f t="shared" si="27"/>
        <v>46166</v>
      </c>
      <c r="H592" cm="1">
        <f t="array" ref="H592">D592*_xlfn.XLOOKUP(C592,Clean_Inventry_Master!A:A,Clean_Inventry_Master!E:E,NOT FOUND,0)</f>
        <v>2748</v>
      </c>
      <c r="I592" s="2">
        <f t="shared" si="28"/>
        <v>46143</v>
      </c>
      <c r="J592" t="str">
        <f t="shared" si="29"/>
        <v>May 2026</v>
      </c>
    </row>
    <row r="593" spans="1:10" x14ac:dyDescent="0.3">
      <c r="A593" t="s">
        <v>998</v>
      </c>
      <c r="B593" t="s">
        <v>439</v>
      </c>
      <c r="C593" t="s">
        <v>10</v>
      </c>
      <c r="D593" s="5">
        <v>1</v>
      </c>
      <c r="E593" t="s">
        <v>77</v>
      </c>
      <c r="F593" t="s">
        <v>78</v>
      </c>
      <c r="G593" s="2">
        <f t="shared" si="27"/>
        <v>46119</v>
      </c>
      <c r="H593" cm="1">
        <f t="array" ref="H593">D593*_xlfn.XLOOKUP(C593,Clean_Inventry_Master!A:A,Clean_Inventry_Master!E:E,NOT FOUND,0)</f>
        <v>499</v>
      </c>
      <c r="I593" s="2">
        <f t="shared" si="28"/>
        <v>46113</v>
      </c>
      <c r="J593" t="str">
        <f t="shared" si="29"/>
        <v>Apr 2026</v>
      </c>
    </row>
    <row r="594" spans="1:10" x14ac:dyDescent="0.3">
      <c r="A594" t="s">
        <v>999</v>
      </c>
      <c r="B594" t="s">
        <v>1000</v>
      </c>
      <c r="C594" t="s">
        <v>47</v>
      </c>
      <c r="D594" s="5">
        <v>10</v>
      </c>
      <c r="E594" t="s">
        <v>91</v>
      </c>
      <c r="F594" t="s">
        <v>78</v>
      </c>
      <c r="G594" s="2">
        <f t="shared" si="27"/>
        <v>46209</v>
      </c>
      <c r="H594" cm="1">
        <f t="array" ref="H594">D594*_xlfn.XLOOKUP(C594,Clean_Inventry_Master!A:A,Clean_Inventry_Master!E:E,NOT FOUND,0)</f>
        <v>1299.9000000000001</v>
      </c>
      <c r="I594" s="2">
        <f t="shared" si="28"/>
        <v>46204</v>
      </c>
      <c r="J594" t="str">
        <f t="shared" si="29"/>
        <v>Jul 2026</v>
      </c>
    </row>
    <row r="595" spans="1:10" x14ac:dyDescent="0.3">
      <c r="A595" t="s">
        <v>1001</v>
      </c>
      <c r="B595" t="s">
        <v>515</v>
      </c>
      <c r="C595" t="s">
        <v>39</v>
      </c>
      <c r="D595" s="5">
        <v>10</v>
      </c>
      <c r="E595" t="s">
        <v>91</v>
      </c>
      <c r="F595" t="s">
        <v>83</v>
      </c>
      <c r="G595" s="2">
        <f t="shared" si="27"/>
        <v>46084</v>
      </c>
      <c r="H595" cm="1">
        <f t="array" ref="H595">D595*_xlfn.XLOOKUP(C595,Clean_Inventry_Master!A:A,Clean_Inventry_Master!E:E,NOT FOUND,0)</f>
        <v>219.89999999999998</v>
      </c>
      <c r="I595" s="2">
        <f t="shared" si="28"/>
        <v>46082</v>
      </c>
      <c r="J595" t="str">
        <f t="shared" si="29"/>
        <v>Mar 2026</v>
      </c>
    </row>
    <row r="596" spans="1:10" x14ac:dyDescent="0.3">
      <c r="A596" t="s">
        <v>1002</v>
      </c>
      <c r="B596" t="s">
        <v>666</v>
      </c>
      <c r="C596" t="s">
        <v>39</v>
      </c>
      <c r="D596" s="5">
        <v>10</v>
      </c>
      <c r="E596" t="s">
        <v>91</v>
      </c>
      <c r="F596" t="s">
        <v>92</v>
      </c>
      <c r="G596" s="2">
        <f t="shared" si="27"/>
        <v>46290</v>
      </c>
      <c r="H596" cm="1">
        <f t="array" ref="H596">D596*_xlfn.XLOOKUP(C596,Clean_Inventry_Master!A:A,Clean_Inventry_Master!E:E,NOT FOUND,0)</f>
        <v>219.89999999999998</v>
      </c>
      <c r="I596" s="2">
        <f t="shared" si="28"/>
        <v>46266</v>
      </c>
      <c r="J596" t="str">
        <f t="shared" si="29"/>
        <v>Sep 2026</v>
      </c>
    </row>
    <row r="597" spans="1:10" x14ac:dyDescent="0.3">
      <c r="A597" t="s">
        <v>1003</v>
      </c>
      <c r="B597" t="s">
        <v>1004</v>
      </c>
      <c r="C597" t="s">
        <v>47</v>
      </c>
      <c r="D597" s="5">
        <v>10</v>
      </c>
      <c r="E597" t="s">
        <v>82</v>
      </c>
      <c r="F597" t="s">
        <v>92</v>
      </c>
      <c r="G597" s="2">
        <f t="shared" si="27"/>
        <v>46089</v>
      </c>
      <c r="H597" cm="1">
        <f t="array" ref="H597">D597*_xlfn.XLOOKUP(C597,Clean_Inventry_Master!A:A,Clean_Inventry_Master!E:E,NOT FOUND,0)</f>
        <v>1299.9000000000001</v>
      </c>
      <c r="I597" s="2">
        <f t="shared" si="28"/>
        <v>46082</v>
      </c>
      <c r="J597" t="str">
        <f t="shared" si="29"/>
        <v>Mar 2026</v>
      </c>
    </row>
    <row r="598" spans="1:10" x14ac:dyDescent="0.3">
      <c r="A598" t="s">
        <v>1005</v>
      </c>
      <c r="B598" t="s">
        <v>658</v>
      </c>
      <c r="C598" t="s">
        <v>24</v>
      </c>
      <c r="D598" s="5">
        <v>4</v>
      </c>
      <c r="E598" t="s">
        <v>82</v>
      </c>
      <c r="F598" t="s">
        <v>83</v>
      </c>
      <c r="G598" s="2">
        <f t="shared" si="27"/>
        <v>46147</v>
      </c>
      <c r="H598" cm="1">
        <f t="array" ref="H598">D598*_xlfn.XLOOKUP(C598,Clean_Inventry_Master!A:A,Clean_Inventry_Master!E:E,NOT FOUND,0)</f>
        <v>559.96</v>
      </c>
      <c r="I598" s="2">
        <f t="shared" si="28"/>
        <v>46143</v>
      </c>
      <c r="J598" t="str">
        <f t="shared" si="29"/>
        <v>May 2026</v>
      </c>
    </row>
    <row r="599" spans="1:10" x14ac:dyDescent="0.3">
      <c r="A599" t="s">
        <v>1006</v>
      </c>
      <c r="B599" t="s">
        <v>232</v>
      </c>
      <c r="C599" t="s">
        <v>49</v>
      </c>
      <c r="D599" s="5">
        <v>5</v>
      </c>
      <c r="E599" t="s">
        <v>77</v>
      </c>
      <c r="F599" t="s">
        <v>83</v>
      </c>
      <c r="G599" s="2">
        <f t="shared" si="27"/>
        <v>46186</v>
      </c>
      <c r="H599" cm="1">
        <f t="array" ref="H599">D599*_xlfn.XLOOKUP(C599,Clean_Inventry_Master!A:A,Clean_Inventry_Master!E:E,NOT FOUND,0)</f>
        <v>249.95000000000002</v>
      </c>
      <c r="I599" s="2">
        <f t="shared" si="28"/>
        <v>46174</v>
      </c>
      <c r="J599" t="str">
        <f t="shared" si="29"/>
        <v>Jun 2026</v>
      </c>
    </row>
    <row r="600" spans="1:10" x14ac:dyDescent="0.3">
      <c r="A600" t="s">
        <v>1007</v>
      </c>
      <c r="B600" t="s">
        <v>1008</v>
      </c>
      <c r="C600" t="s">
        <v>54</v>
      </c>
      <c r="D600" s="5">
        <v>9</v>
      </c>
      <c r="E600" t="s">
        <v>91</v>
      </c>
      <c r="F600" t="s">
        <v>78</v>
      </c>
      <c r="G600" s="2">
        <f t="shared" si="27"/>
        <v>46118</v>
      </c>
      <c r="H600" cm="1">
        <f t="array" ref="H600">D600*_xlfn.XLOOKUP(C600,Clean_Inventry_Master!A:A,Clean_Inventry_Master!E:E,NOT FOUND,0)</f>
        <v>3149.91</v>
      </c>
      <c r="I600" s="2">
        <f t="shared" si="28"/>
        <v>46113</v>
      </c>
      <c r="J600" t="str">
        <f t="shared" si="29"/>
        <v>Apr 2026</v>
      </c>
    </row>
    <row r="601" spans="1:10" x14ac:dyDescent="0.3">
      <c r="A601" t="s">
        <v>1009</v>
      </c>
      <c r="B601" t="s">
        <v>1010</v>
      </c>
      <c r="C601" t="s">
        <v>66</v>
      </c>
      <c r="D601" s="5">
        <v>10</v>
      </c>
      <c r="E601" t="s">
        <v>77</v>
      </c>
      <c r="F601" t="s">
        <v>92</v>
      </c>
      <c r="G601" s="2">
        <f t="shared" si="27"/>
        <v>46130</v>
      </c>
      <c r="H601" cm="1">
        <f t="array" ref="H601">D601*_xlfn.XLOOKUP(C601,Clean_Inventry_Master!A:A,Clean_Inventry_Master!E:E,NOT FOUND,0)</f>
        <v>349.90000000000003</v>
      </c>
      <c r="I601" s="2">
        <f t="shared" si="28"/>
        <v>46113</v>
      </c>
      <c r="J601" t="str">
        <f t="shared" si="29"/>
        <v>Apr 2026</v>
      </c>
    </row>
    <row r="602" spans="1:10" x14ac:dyDescent="0.3">
      <c r="A602" t="s">
        <v>1011</v>
      </c>
      <c r="B602" t="s">
        <v>1012</v>
      </c>
      <c r="C602" t="s">
        <v>16</v>
      </c>
      <c r="D602" s="5">
        <v>14</v>
      </c>
      <c r="E602" t="s">
        <v>1308</v>
      </c>
      <c r="F602" t="s">
        <v>92</v>
      </c>
      <c r="G602" s="2">
        <f t="shared" si="27"/>
        <v>46111</v>
      </c>
      <c r="H602" cm="1">
        <f t="array" ref="H602">D602*_xlfn.XLOOKUP(C602,Clean_Inventry_Master!A:A,Clean_Inventry_Master!E:E,NOT FOUND,0)</f>
        <v>3206</v>
      </c>
      <c r="I602" s="2">
        <f t="shared" si="28"/>
        <v>46082</v>
      </c>
      <c r="J602" t="str">
        <f t="shared" si="29"/>
        <v>Mar 2026</v>
      </c>
    </row>
    <row r="603" spans="1:10" x14ac:dyDescent="0.3">
      <c r="A603" t="s">
        <v>1013</v>
      </c>
      <c r="B603" t="s">
        <v>1014</v>
      </c>
      <c r="C603" t="s">
        <v>28</v>
      </c>
      <c r="D603" s="5">
        <v>5</v>
      </c>
      <c r="E603" t="s">
        <v>77</v>
      </c>
      <c r="F603" t="s">
        <v>83</v>
      </c>
      <c r="G603" s="2">
        <f t="shared" si="27"/>
        <v>46254</v>
      </c>
      <c r="H603" cm="1">
        <f t="array" ref="H603">D603*_xlfn.XLOOKUP(C603,Clean_Inventry_Master!A:A,Clean_Inventry_Master!E:E,NOT FOUND,0)</f>
        <v>900</v>
      </c>
      <c r="I603" s="2">
        <f t="shared" si="28"/>
        <v>46235</v>
      </c>
      <c r="J603" t="str">
        <f t="shared" si="29"/>
        <v>Aug 2026</v>
      </c>
    </row>
    <row r="604" spans="1:10" x14ac:dyDescent="0.3">
      <c r="A604" t="s">
        <v>1015</v>
      </c>
      <c r="B604" t="s">
        <v>384</v>
      </c>
      <c r="C604" t="s">
        <v>31</v>
      </c>
      <c r="D604" s="5">
        <v>6</v>
      </c>
      <c r="E604" t="s">
        <v>82</v>
      </c>
      <c r="F604" t="s">
        <v>83</v>
      </c>
      <c r="G604" s="2">
        <f t="shared" si="27"/>
        <v>46044</v>
      </c>
      <c r="H604" cm="1">
        <f t="array" ref="H604">D604*_xlfn.XLOOKUP(C604,Clean_Inventry_Master!A:A,Clean_Inventry_Master!E:E,NOT FOUND,0)</f>
        <v>90</v>
      </c>
      <c r="I604" s="2">
        <f t="shared" si="28"/>
        <v>46023</v>
      </c>
      <c r="J604" t="str">
        <f t="shared" si="29"/>
        <v>Jan 2026</v>
      </c>
    </row>
    <row r="605" spans="1:10" x14ac:dyDescent="0.3">
      <c r="A605" t="s">
        <v>1016</v>
      </c>
      <c r="B605" t="s">
        <v>452</v>
      </c>
      <c r="C605" t="s">
        <v>66</v>
      </c>
      <c r="D605" s="5">
        <v>2</v>
      </c>
      <c r="E605" t="s">
        <v>82</v>
      </c>
      <c r="F605" t="s">
        <v>92</v>
      </c>
      <c r="G605" s="2">
        <f t="shared" si="27"/>
        <v>46041</v>
      </c>
      <c r="H605" cm="1">
        <f t="array" ref="H605">D605*_xlfn.XLOOKUP(C605,Clean_Inventry_Master!A:A,Clean_Inventry_Master!E:E,NOT FOUND,0)</f>
        <v>69.98</v>
      </c>
      <c r="I605" s="2">
        <f t="shared" si="28"/>
        <v>46023</v>
      </c>
      <c r="J605" t="str">
        <f t="shared" si="29"/>
        <v>Jan 2026</v>
      </c>
    </row>
    <row r="606" spans="1:10" x14ac:dyDescent="0.3">
      <c r="A606" t="s">
        <v>1017</v>
      </c>
      <c r="B606" t="s">
        <v>1018</v>
      </c>
      <c r="C606" t="s">
        <v>35</v>
      </c>
      <c r="D606" s="5">
        <v>14</v>
      </c>
      <c r="E606" t="s">
        <v>77</v>
      </c>
      <c r="F606" t="s">
        <v>83</v>
      </c>
      <c r="G606" s="2">
        <f t="shared" si="27"/>
        <v>46283</v>
      </c>
      <c r="H606" cm="1">
        <f t="array" ref="H606">D606*_xlfn.XLOOKUP(C606,Clean_Inventry_Master!A:A,Clean_Inventry_Master!E:E,NOT FOUND,0)</f>
        <v>139.86000000000001</v>
      </c>
      <c r="I606" s="2">
        <f t="shared" si="28"/>
        <v>46266</v>
      </c>
      <c r="J606" t="str">
        <f t="shared" si="29"/>
        <v>Sep 2026</v>
      </c>
    </row>
    <row r="607" spans="1:10" x14ac:dyDescent="0.3">
      <c r="A607" t="s">
        <v>1019</v>
      </c>
      <c r="B607" t="s">
        <v>243</v>
      </c>
      <c r="C607" t="s">
        <v>64</v>
      </c>
      <c r="D607" s="5">
        <v>14</v>
      </c>
      <c r="E607" t="s">
        <v>82</v>
      </c>
      <c r="F607" t="s">
        <v>83</v>
      </c>
      <c r="G607" s="2">
        <f t="shared" si="27"/>
        <v>46276</v>
      </c>
      <c r="H607" cm="1">
        <f t="array" ref="H607">D607*_xlfn.XLOOKUP(C607,Clean_Inventry_Master!A:A,Clean_Inventry_Master!E:E,NOT FOUND,0)</f>
        <v>279.85999999999996</v>
      </c>
      <c r="I607" s="2">
        <f t="shared" si="28"/>
        <v>46266</v>
      </c>
      <c r="J607" t="str">
        <f t="shared" si="29"/>
        <v>Sep 2026</v>
      </c>
    </row>
    <row r="608" spans="1:10" x14ac:dyDescent="0.3">
      <c r="A608" t="s">
        <v>1020</v>
      </c>
      <c r="B608" t="s">
        <v>1021</v>
      </c>
      <c r="C608" t="s">
        <v>43</v>
      </c>
      <c r="D608" s="5">
        <v>6</v>
      </c>
      <c r="E608" t="s">
        <v>1308</v>
      </c>
      <c r="F608" t="s">
        <v>92</v>
      </c>
      <c r="G608" s="2">
        <f t="shared" si="27"/>
        <v>46232</v>
      </c>
      <c r="H608" cm="1">
        <f t="array" ref="H608">D608*_xlfn.XLOOKUP(C608,Clean_Inventry_Master!A:A,Clean_Inventry_Master!E:E,NOT FOUND,0)</f>
        <v>51</v>
      </c>
      <c r="I608" s="2">
        <f t="shared" si="28"/>
        <v>46204</v>
      </c>
      <c r="J608" t="str">
        <f t="shared" si="29"/>
        <v>Jul 2026</v>
      </c>
    </row>
    <row r="609" spans="1:10" x14ac:dyDescent="0.3">
      <c r="A609" t="s">
        <v>1022</v>
      </c>
      <c r="B609" t="s">
        <v>147</v>
      </c>
      <c r="C609" t="s">
        <v>39</v>
      </c>
      <c r="D609" s="5">
        <v>12</v>
      </c>
      <c r="E609" t="s">
        <v>91</v>
      </c>
      <c r="F609" t="s">
        <v>83</v>
      </c>
      <c r="G609" s="2">
        <f t="shared" si="27"/>
        <v>46154</v>
      </c>
      <c r="H609" cm="1">
        <f t="array" ref="H609">D609*_xlfn.XLOOKUP(C609,Clean_Inventry_Master!A:A,Clean_Inventry_Master!E:E,NOT FOUND,0)</f>
        <v>263.88</v>
      </c>
      <c r="I609" s="2">
        <f t="shared" si="28"/>
        <v>46143</v>
      </c>
      <c r="J609" t="str">
        <f t="shared" si="29"/>
        <v>May 2026</v>
      </c>
    </row>
    <row r="610" spans="1:10" x14ac:dyDescent="0.3">
      <c r="A610" t="s">
        <v>1023</v>
      </c>
      <c r="B610" t="s">
        <v>1024</v>
      </c>
      <c r="C610" t="s">
        <v>26</v>
      </c>
      <c r="D610" s="5">
        <v>3</v>
      </c>
      <c r="E610" t="s">
        <v>82</v>
      </c>
      <c r="F610" t="s">
        <v>83</v>
      </c>
      <c r="G610" s="2">
        <f t="shared" si="27"/>
        <v>46147</v>
      </c>
      <c r="H610" cm="1">
        <f t="array" ref="H610">D610*_xlfn.XLOOKUP(C610,Clean_Inventry_Master!A:A,Clean_Inventry_Master!E:E,NOT FOUND,0)</f>
        <v>269.96999999999997</v>
      </c>
      <c r="I610" s="2">
        <f t="shared" si="28"/>
        <v>46143</v>
      </c>
      <c r="J610" t="str">
        <f t="shared" si="29"/>
        <v>May 2026</v>
      </c>
    </row>
    <row r="611" spans="1:10" x14ac:dyDescent="0.3">
      <c r="A611" t="s">
        <v>1025</v>
      </c>
      <c r="B611" t="s">
        <v>250</v>
      </c>
      <c r="C611" t="s">
        <v>52</v>
      </c>
      <c r="D611" s="5">
        <v>11</v>
      </c>
      <c r="E611" t="s">
        <v>91</v>
      </c>
      <c r="F611" t="s">
        <v>83</v>
      </c>
      <c r="G611" s="2">
        <f t="shared" si="27"/>
        <v>46160</v>
      </c>
      <c r="H611" cm="1">
        <f t="array" ref="H611">D611*_xlfn.XLOOKUP(C611,Clean_Inventry_Master!A:A,Clean_Inventry_Master!E:E,NOT FOUND,0)</f>
        <v>329.89</v>
      </c>
      <c r="I611" s="2">
        <f t="shared" si="28"/>
        <v>46143</v>
      </c>
      <c r="J611" t="str">
        <f t="shared" si="29"/>
        <v>May 2026</v>
      </c>
    </row>
    <row r="612" spans="1:10" x14ac:dyDescent="0.3">
      <c r="A612" t="s">
        <v>1026</v>
      </c>
      <c r="B612" t="s">
        <v>1027</v>
      </c>
      <c r="C612" t="s">
        <v>49</v>
      </c>
      <c r="D612" s="5">
        <v>3</v>
      </c>
      <c r="E612" t="s">
        <v>1308</v>
      </c>
      <c r="F612" t="s">
        <v>78</v>
      </c>
      <c r="G612" s="2">
        <f t="shared" si="27"/>
        <v>46105</v>
      </c>
      <c r="H612" cm="1">
        <f t="array" ref="H612">D612*_xlfn.XLOOKUP(C612,Clean_Inventry_Master!A:A,Clean_Inventry_Master!E:E,NOT FOUND,0)</f>
        <v>149.97</v>
      </c>
      <c r="I612" s="2">
        <f t="shared" si="28"/>
        <v>46082</v>
      </c>
      <c r="J612" t="str">
        <f t="shared" si="29"/>
        <v>Mar 2026</v>
      </c>
    </row>
    <row r="613" spans="1:10" x14ac:dyDescent="0.3">
      <c r="A613" t="s">
        <v>1028</v>
      </c>
      <c r="B613" t="s">
        <v>515</v>
      </c>
      <c r="C613" t="s">
        <v>47</v>
      </c>
      <c r="D613" s="5">
        <v>13</v>
      </c>
      <c r="E613" t="s">
        <v>77</v>
      </c>
      <c r="F613" t="s">
        <v>92</v>
      </c>
      <c r="G613" s="2">
        <f t="shared" si="27"/>
        <v>46084</v>
      </c>
      <c r="H613" cm="1">
        <f t="array" ref="H613">D613*_xlfn.XLOOKUP(C613,Clean_Inventry_Master!A:A,Clean_Inventry_Master!E:E,NOT FOUND,0)</f>
        <v>1689.8700000000001</v>
      </c>
      <c r="I613" s="2">
        <f t="shared" si="28"/>
        <v>46082</v>
      </c>
      <c r="J613" t="str">
        <f t="shared" si="29"/>
        <v>Mar 2026</v>
      </c>
    </row>
    <row r="614" spans="1:10" x14ac:dyDescent="0.3">
      <c r="A614" t="s">
        <v>1029</v>
      </c>
      <c r="B614" t="s">
        <v>192</v>
      </c>
      <c r="C614" t="s">
        <v>43</v>
      </c>
      <c r="D614" s="5">
        <v>9</v>
      </c>
      <c r="E614" t="s">
        <v>77</v>
      </c>
      <c r="F614" t="s">
        <v>78</v>
      </c>
      <c r="G614" s="2">
        <f t="shared" si="27"/>
        <v>46224</v>
      </c>
      <c r="H614" cm="1">
        <f t="array" ref="H614">D614*_xlfn.XLOOKUP(C614,Clean_Inventry_Master!A:A,Clean_Inventry_Master!E:E,NOT FOUND,0)</f>
        <v>76.5</v>
      </c>
      <c r="I614" s="2">
        <f t="shared" si="28"/>
        <v>46204</v>
      </c>
      <c r="J614" t="str">
        <f t="shared" si="29"/>
        <v>Jul 2026</v>
      </c>
    </row>
    <row r="615" spans="1:10" x14ac:dyDescent="0.3">
      <c r="A615" t="s">
        <v>1030</v>
      </c>
      <c r="B615" t="s">
        <v>585</v>
      </c>
      <c r="C615" t="s">
        <v>66</v>
      </c>
      <c r="D615" s="5">
        <v>14</v>
      </c>
      <c r="E615" t="s">
        <v>91</v>
      </c>
      <c r="F615" t="s">
        <v>83</v>
      </c>
      <c r="G615" s="2">
        <f t="shared" si="27"/>
        <v>46132</v>
      </c>
      <c r="H615" cm="1">
        <f t="array" ref="H615">D615*_xlfn.XLOOKUP(C615,Clean_Inventry_Master!A:A,Clean_Inventry_Master!E:E,NOT FOUND,0)</f>
        <v>489.86</v>
      </c>
      <c r="I615" s="2">
        <f t="shared" si="28"/>
        <v>46113</v>
      </c>
      <c r="J615" t="str">
        <f t="shared" si="29"/>
        <v>Apr 2026</v>
      </c>
    </row>
    <row r="616" spans="1:10" x14ac:dyDescent="0.3">
      <c r="A616" t="s">
        <v>1031</v>
      </c>
      <c r="B616" t="s">
        <v>755</v>
      </c>
      <c r="C616" t="s">
        <v>43</v>
      </c>
      <c r="D616" s="5">
        <v>13</v>
      </c>
      <c r="E616" t="s">
        <v>1308</v>
      </c>
      <c r="F616" t="s">
        <v>78</v>
      </c>
      <c r="G616" s="2">
        <f t="shared" si="27"/>
        <v>46197</v>
      </c>
      <c r="H616" cm="1">
        <f t="array" ref="H616">D616*_xlfn.XLOOKUP(C616,Clean_Inventry_Master!A:A,Clean_Inventry_Master!E:E,NOT FOUND,0)</f>
        <v>110.5</v>
      </c>
      <c r="I616" s="2">
        <f t="shared" si="28"/>
        <v>46174</v>
      </c>
      <c r="J616" t="str">
        <f t="shared" si="29"/>
        <v>Jun 2026</v>
      </c>
    </row>
    <row r="617" spans="1:10" x14ac:dyDescent="0.3">
      <c r="A617" t="s">
        <v>1032</v>
      </c>
      <c r="B617" t="s">
        <v>1033</v>
      </c>
      <c r="C617" t="s">
        <v>66</v>
      </c>
      <c r="D617" s="5">
        <v>12</v>
      </c>
      <c r="E617" t="s">
        <v>1308</v>
      </c>
      <c r="F617" t="s">
        <v>92</v>
      </c>
      <c r="G617" s="2">
        <f t="shared" si="27"/>
        <v>46187</v>
      </c>
      <c r="H617" cm="1">
        <f t="array" ref="H617">D617*_xlfn.XLOOKUP(C617,Clean_Inventry_Master!A:A,Clean_Inventry_Master!E:E,NOT FOUND,0)</f>
        <v>419.88</v>
      </c>
      <c r="I617" s="2">
        <f t="shared" si="28"/>
        <v>46174</v>
      </c>
      <c r="J617" t="str">
        <f t="shared" si="29"/>
        <v>Jun 2026</v>
      </c>
    </row>
    <row r="618" spans="1:10" x14ac:dyDescent="0.3">
      <c r="A618" t="s">
        <v>1034</v>
      </c>
      <c r="B618" t="s">
        <v>1035</v>
      </c>
      <c r="C618" t="s">
        <v>43</v>
      </c>
      <c r="D618" s="5">
        <v>5</v>
      </c>
      <c r="E618" t="s">
        <v>91</v>
      </c>
      <c r="F618" t="s">
        <v>92</v>
      </c>
      <c r="G618" s="2">
        <f t="shared" si="27"/>
        <v>46285</v>
      </c>
      <c r="H618" cm="1">
        <f t="array" ref="H618">D618*_xlfn.XLOOKUP(C618,Clean_Inventry_Master!A:A,Clean_Inventry_Master!E:E,NOT FOUND,0)</f>
        <v>42.5</v>
      </c>
      <c r="I618" s="2">
        <f t="shared" si="28"/>
        <v>46266</v>
      </c>
      <c r="J618" t="str">
        <f t="shared" si="29"/>
        <v>Sep 2026</v>
      </c>
    </row>
    <row r="619" spans="1:10" x14ac:dyDescent="0.3">
      <c r="A619" t="s">
        <v>1036</v>
      </c>
      <c r="B619" t="s">
        <v>1037</v>
      </c>
      <c r="C619" t="s">
        <v>26</v>
      </c>
      <c r="D619" s="5">
        <v>1</v>
      </c>
      <c r="E619" t="s">
        <v>91</v>
      </c>
      <c r="F619" t="s">
        <v>83</v>
      </c>
      <c r="G619" s="2">
        <f t="shared" si="27"/>
        <v>46024</v>
      </c>
      <c r="H619" cm="1">
        <f t="array" ref="H619">D619*_xlfn.XLOOKUP(C619,Clean_Inventry_Master!A:A,Clean_Inventry_Master!E:E,NOT FOUND,0)</f>
        <v>89.99</v>
      </c>
      <c r="I619" s="2">
        <f t="shared" si="28"/>
        <v>46023</v>
      </c>
      <c r="J619" t="str">
        <f t="shared" si="29"/>
        <v>Jan 2026</v>
      </c>
    </row>
    <row r="620" spans="1:10" x14ac:dyDescent="0.3">
      <c r="A620" t="s">
        <v>1038</v>
      </c>
      <c r="B620" t="s">
        <v>90</v>
      </c>
      <c r="C620" t="s">
        <v>28</v>
      </c>
      <c r="D620" s="5">
        <v>13</v>
      </c>
      <c r="E620" t="s">
        <v>82</v>
      </c>
      <c r="F620" t="s">
        <v>78</v>
      </c>
      <c r="G620" s="2">
        <f t="shared" si="27"/>
        <v>46253</v>
      </c>
      <c r="H620" cm="1">
        <f t="array" ref="H620">D620*_xlfn.XLOOKUP(C620,Clean_Inventry_Master!A:A,Clean_Inventry_Master!E:E,NOT FOUND,0)</f>
        <v>2340</v>
      </c>
      <c r="I620" s="2">
        <f t="shared" si="28"/>
        <v>46235</v>
      </c>
      <c r="J620" t="str">
        <f t="shared" si="29"/>
        <v>Aug 2026</v>
      </c>
    </row>
    <row r="621" spans="1:10" x14ac:dyDescent="0.3">
      <c r="A621" t="s">
        <v>1039</v>
      </c>
      <c r="B621" t="s">
        <v>1040</v>
      </c>
      <c r="C621" t="s">
        <v>43</v>
      </c>
      <c r="D621" s="5">
        <v>11</v>
      </c>
      <c r="E621" t="s">
        <v>77</v>
      </c>
      <c r="F621" t="s">
        <v>83</v>
      </c>
      <c r="G621" s="2">
        <f t="shared" si="27"/>
        <v>46142</v>
      </c>
      <c r="H621" cm="1">
        <f t="array" ref="H621">D621*_xlfn.XLOOKUP(C621,Clean_Inventry_Master!A:A,Clean_Inventry_Master!E:E,NOT FOUND,0)</f>
        <v>93.5</v>
      </c>
      <c r="I621" s="2">
        <f t="shared" si="28"/>
        <v>46113</v>
      </c>
      <c r="J621" t="str">
        <f t="shared" si="29"/>
        <v>Apr 2026</v>
      </c>
    </row>
    <row r="622" spans="1:10" x14ac:dyDescent="0.3">
      <c r="A622" t="s">
        <v>1041</v>
      </c>
      <c r="B622" t="s">
        <v>873</v>
      </c>
      <c r="C622" t="s">
        <v>12</v>
      </c>
      <c r="D622" s="5">
        <v>14</v>
      </c>
      <c r="E622" t="s">
        <v>1308</v>
      </c>
      <c r="F622" t="s">
        <v>78</v>
      </c>
      <c r="G622" s="2">
        <f t="shared" si="27"/>
        <v>46056</v>
      </c>
      <c r="H622" cm="1">
        <f t="array" ref="H622">D622*_xlfn.XLOOKUP(C622,Clean_Inventry_Master!A:A,Clean_Inventry_Master!E:E,NOT FOUND,0)</f>
        <v>1330</v>
      </c>
      <c r="I622" s="2">
        <f t="shared" si="28"/>
        <v>46054</v>
      </c>
      <c r="J622" t="str">
        <f t="shared" si="29"/>
        <v>Feb 2026</v>
      </c>
    </row>
    <row r="623" spans="1:10" x14ac:dyDescent="0.3">
      <c r="A623" t="s">
        <v>1042</v>
      </c>
      <c r="B623" t="s">
        <v>149</v>
      </c>
      <c r="C623" t="s">
        <v>58</v>
      </c>
      <c r="D623" s="5">
        <v>5</v>
      </c>
      <c r="E623" t="s">
        <v>77</v>
      </c>
      <c r="F623" t="s">
        <v>92</v>
      </c>
      <c r="G623" s="2">
        <f t="shared" si="27"/>
        <v>46179</v>
      </c>
      <c r="H623" cm="1">
        <f t="array" ref="H623">D623*_xlfn.XLOOKUP(C623,Clean_Inventry_Master!A:A,Clean_Inventry_Master!E:E,NOT FOUND,0)</f>
        <v>299.95</v>
      </c>
      <c r="I623" s="2">
        <f t="shared" si="28"/>
        <v>46174</v>
      </c>
      <c r="J623" t="str">
        <f t="shared" si="29"/>
        <v>Jun 2026</v>
      </c>
    </row>
    <row r="624" spans="1:10" x14ac:dyDescent="0.3">
      <c r="A624" t="s">
        <v>1043</v>
      </c>
      <c r="B624" t="s">
        <v>1044</v>
      </c>
      <c r="C624" t="s">
        <v>41</v>
      </c>
      <c r="D624" s="5">
        <v>10</v>
      </c>
      <c r="E624" t="s">
        <v>91</v>
      </c>
      <c r="F624" t="s">
        <v>92</v>
      </c>
      <c r="G624" s="2">
        <f t="shared" si="27"/>
        <v>46046</v>
      </c>
      <c r="H624" cm="1">
        <f t="array" ref="H624">D624*_xlfn.XLOOKUP(C624,Clean_Inventry_Master!A:A,Clean_Inventry_Master!E:E,NOT FOUND,0)</f>
        <v>399.90000000000003</v>
      </c>
      <c r="I624" s="2">
        <f t="shared" si="28"/>
        <v>46023</v>
      </c>
      <c r="J624" t="str">
        <f t="shared" si="29"/>
        <v>Jan 2026</v>
      </c>
    </row>
    <row r="625" spans="1:10" x14ac:dyDescent="0.3">
      <c r="A625" t="s">
        <v>1045</v>
      </c>
      <c r="B625" t="s">
        <v>379</v>
      </c>
      <c r="C625" t="s">
        <v>35</v>
      </c>
      <c r="D625" s="5">
        <v>12</v>
      </c>
      <c r="E625" t="s">
        <v>1308</v>
      </c>
      <c r="F625" t="s">
        <v>92</v>
      </c>
      <c r="G625" s="2">
        <f t="shared" si="27"/>
        <v>46035</v>
      </c>
      <c r="H625" cm="1">
        <f t="array" ref="H625">D625*_xlfn.XLOOKUP(C625,Clean_Inventry_Master!A:A,Clean_Inventry_Master!E:E,NOT FOUND,0)</f>
        <v>119.88</v>
      </c>
      <c r="I625" s="2">
        <f t="shared" si="28"/>
        <v>46023</v>
      </c>
      <c r="J625" t="str">
        <f t="shared" si="29"/>
        <v>Jan 2026</v>
      </c>
    </row>
    <row r="626" spans="1:10" x14ac:dyDescent="0.3">
      <c r="A626" t="s">
        <v>1046</v>
      </c>
      <c r="B626" t="s">
        <v>330</v>
      </c>
      <c r="C626" t="s">
        <v>62</v>
      </c>
      <c r="D626" s="5">
        <v>6</v>
      </c>
      <c r="E626" t="s">
        <v>82</v>
      </c>
      <c r="F626" t="s">
        <v>92</v>
      </c>
      <c r="G626" s="2">
        <f t="shared" si="27"/>
        <v>46038</v>
      </c>
      <c r="H626" cm="1">
        <f t="array" ref="H626">D626*_xlfn.XLOOKUP(C626,Clean_Inventry_Master!A:A,Clean_Inventry_Master!E:E,NOT FOUND,0)</f>
        <v>165</v>
      </c>
      <c r="I626" s="2">
        <f t="shared" si="28"/>
        <v>46023</v>
      </c>
      <c r="J626" t="str">
        <f t="shared" si="29"/>
        <v>Jan 2026</v>
      </c>
    </row>
    <row r="627" spans="1:10" x14ac:dyDescent="0.3">
      <c r="A627" t="s">
        <v>1047</v>
      </c>
      <c r="B627" t="s">
        <v>446</v>
      </c>
      <c r="C627" t="s">
        <v>52</v>
      </c>
      <c r="D627" s="5">
        <v>5</v>
      </c>
      <c r="E627" t="s">
        <v>91</v>
      </c>
      <c r="F627" t="s">
        <v>78</v>
      </c>
      <c r="G627" s="2">
        <f t="shared" si="27"/>
        <v>46261</v>
      </c>
      <c r="H627" cm="1">
        <f t="array" ref="H627">D627*_xlfn.XLOOKUP(C627,Clean_Inventry_Master!A:A,Clean_Inventry_Master!E:E,NOT FOUND,0)</f>
        <v>149.94999999999999</v>
      </c>
      <c r="I627" s="2">
        <f t="shared" si="28"/>
        <v>46235</v>
      </c>
      <c r="J627" t="str">
        <f t="shared" si="29"/>
        <v>Aug 2026</v>
      </c>
    </row>
    <row r="628" spans="1:10" x14ac:dyDescent="0.3">
      <c r="A628" t="s">
        <v>1048</v>
      </c>
      <c r="B628" t="s">
        <v>238</v>
      </c>
      <c r="C628" t="s">
        <v>39</v>
      </c>
      <c r="D628" s="5">
        <v>13</v>
      </c>
      <c r="E628" t="s">
        <v>91</v>
      </c>
      <c r="F628" t="s">
        <v>83</v>
      </c>
      <c r="G628" s="2">
        <f t="shared" si="27"/>
        <v>46088</v>
      </c>
      <c r="H628" cm="1">
        <f t="array" ref="H628">D628*_xlfn.XLOOKUP(C628,Clean_Inventry_Master!A:A,Clean_Inventry_Master!E:E,NOT FOUND,0)</f>
        <v>285.87</v>
      </c>
      <c r="I628" s="2">
        <f t="shared" si="28"/>
        <v>46082</v>
      </c>
      <c r="J628" t="str">
        <f t="shared" si="29"/>
        <v>Mar 2026</v>
      </c>
    </row>
    <row r="629" spans="1:10" x14ac:dyDescent="0.3">
      <c r="A629" t="s">
        <v>1049</v>
      </c>
      <c r="B629" t="s">
        <v>505</v>
      </c>
      <c r="C629" t="s">
        <v>68</v>
      </c>
      <c r="D629" s="5">
        <v>2</v>
      </c>
      <c r="E629" t="s">
        <v>82</v>
      </c>
      <c r="F629" t="s">
        <v>78</v>
      </c>
      <c r="G629" s="2">
        <f t="shared" si="27"/>
        <v>46095</v>
      </c>
      <c r="H629" cm="1">
        <f t="array" ref="H629">D629*_xlfn.XLOOKUP(C629,Clean_Inventry_Master!A:A,Clean_Inventry_Master!E:E,NOT FOUND,0)</f>
        <v>85</v>
      </c>
      <c r="I629" s="2">
        <f t="shared" si="28"/>
        <v>46082</v>
      </c>
      <c r="J629" t="str">
        <f t="shared" si="29"/>
        <v>Mar 2026</v>
      </c>
    </row>
    <row r="630" spans="1:10" x14ac:dyDescent="0.3">
      <c r="A630" t="s">
        <v>1050</v>
      </c>
      <c r="B630" t="s">
        <v>678</v>
      </c>
      <c r="C630" t="s">
        <v>22</v>
      </c>
      <c r="D630" s="5">
        <v>12</v>
      </c>
      <c r="E630" t="s">
        <v>1308</v>
      </c>
      <c r="F630" t="s">
        <v>92</v>
      </c>
      <c r="G630" s="2">
        <f t="shared" si="27"/>
        <v>46057</v>
      </c>
      <c r="H630" cm="1">
        <f t="array" ref="H630">D630*_xlfn.XLOOKUP(C630,Clean_Inventry_Master!A:A,Clean_Inventry_Master!E:E,NOT FOUND,0)</f>
        <v>1439.8799999999999</v>
      </c>
      <c r="I630" s="2">
        <f t="shared" si="28"/>
        <v>46054</v>
      </c>
      <c r="J630" t="str">
        <f t="shared" si="29"/>
        <v>Feb 2026</v>
      </c>
    </row>
    <row r="631" spans="1:10" x14ac:dyDescent="0.3">
      <c r="A631" t="s">
        <v>1051</v>
      </c>
      <c r="B631" t="s">
        <v>145</v>
      </c>
      <c r="C631" t="s">
        <v>24</v>
      </c>
      <c r="D631" s="5">
        <v>13</v>
      </c>
      <c r="E631" t="s">
        <v>82</v>
      </c>
      <c r="F631" t="s">
        <v>78</v>
      </c>
      <c r="G631" s="2">
        <f t="shared" si="27"/>
        <v>46287</v>
      </c>
      <c r="H631" cm="1">
        <f t="array" ref="H631">D631*_xlfn.XLOOKUP(C631,Clean_Inventry_Master!A:A,Clean_Inventry_Master!E:E,NOT FOUND,0)</f>
        <v>1819.8700000000001</v>
      </c>
      <c r="I631" s="2">
        <f t="shared" si="28"/>
        <v>46266</v>
      </c>
      <c r="J631" t="str">
        <f t="shared" si="29"/>
        <v>Sep 2026</v>
      </c>
    </row>
    <row r="632" spans="1:10" x14ac:dyDescent="0.3">
      <c r="A632" t="s">
        <v>1052</v>
      </c>
      <c r="B632" t="s">
        <v>347</v>
      </c>
      <c r="C632" t="s">
        <v>12</v>
      </c>
      <c r="D632" s="5">
        <v>13</v>
      </c>
      <c r="E632" t="s">
        <v>77</v>
      </c>
      <c r="F632" t="s">
        <v>92</v>
      </c>
      <c r="G632" s="2">
        <f t="shared" si="27"/>
        <v>46113</v>
      </c>
      <c r="H632" cm="1">
        <f t="array" ref="H632">D632*_xlfn.XLOOKUP(C632,Clean_Inventry_Master!A:A,Clean_Inventry_Master!E:E,NOT FOUND,0)</f>
        <v>1235</v>
      </c>
      <c r="I632" s="2">
        <f t="shared" si="28"/>
        <v>46113</v>
      </c>
      <c r="J632" t="str">
        <f t="shared" si="29"/>
        <v>Apr 2026</v>
      </c>
    </row>
    <row r="633" spans="1:10" x14ac:dyDescent="0.3">
      <c r="A633" t="s">
        <v>1053</v>
      </c>
      <c r="B633" t="s">
        <v>1027</v>
      </c>
      <c r="C633" t="s">
        <v>68</v>
      </c>
      <c r="D633" s="5">
        <v>5</v>
      </c>
      <c r="E633" t="s">
        <v>1308</v>
      </c>
      <c r="F633" t="s">
        <v>83</v>
      </c>
      <c r="G633" s="2">
        <f t="shared" si="27"/>
        <v>46105</v>
      </c>
      <c r="H633" cm="1">
        <f t="array" ref="H633">D633*_xlfn.XLOOKUP(C633,Clean_Inventry_Master!A:A,Clean_Inventry_Master!E:E,NOT FOUND,0)</f>
        <v>212.5</v>
      </c>
      <c r="I633" s="2">
        <f t="shared" si="28"/>
        <v>46082</v>
      </c>
      <c r="J633" t="str">
        <f t="shared" si="29"/>
        <v>Mar 2026</v>
      </c>
    </row>
    <row r="634" spans="1:10" x14ac:dyDescent="0.3">
      <c r="A634" t="s">
        <v>1054</v>
      </c>
      <c r="B634" t="s">
        <v>460</v>
      </c>
      <c r="C634" t="s">
        <v>10</v>
      </c>
      <c r="D634" s="5">
        <v>11</v>
      </c>
      <c r="E634" t="s">
        <v>91</v>
      </c>
      <c r="F634" t="s">
        <v>92</v>
      </c>
      <c r="G634" s="2">
        <f t="shared" si="27"/>
        <v>46289</v>
      </c>
      <c r="H634" cm="1">
        <f t="array" ref="H634">D634*_xlfn.XLOOKUP(C634,Clean_Inventry_Master!A:A,Clean_Inventry_Master!E:E,NOT FOUND,0)</f>
        <v>5489</v>
      </c>
      <c r="I634" s="2">
        <f t="shared" si="28"/>
        <v>46266</v>
      </c>
      <c r="J634" t="str">
        <f t="shared" si="29"/>
        <v>Sep 2026</v>
      </c>
    </row>
    <row r="635" spans="1:10" x14ac:dyDescent="0.3">
      <c r="A635" t="s">
        <v>1055</v>
      </c>
      <c r="B635" t="s">
        <v>257</v>
      </c>
      <c r="C635" t="s">
        <v>45</v>
      </c>
      <c r="D635" s="5">
        <v>5</v>
      </c>
      <c r="E635" t="s">
        <v>91</v>
      </c>
      <c r="F635" t="s">
        <v>92</v>
      </c>
      <c r="G635" s="2">
        <f t="shared" si="27"/>
        <v>46176</v>
      </c>
      <c r="H635" cm="1">
        <f t="array" ref="H635">D635*_xlfn.XLOOKUP(C635,Clean_Inventry_Master!A:A,Clean_Inventry_Master!E:E,NOT FOUND,0)</f>
        <v>94.949999999999989</v>
      </c>
      <c r="I635" s="2">
        <f t="shared" si="28"/>
        <v>46174</v>
      </c>
      <c r="J635" t="str">
        <f t="shared" si="29"/>
        <v>Jun 2026</v>
      </c>
    </row>
    <row r="636" spans="1:10" x14ac:dyDescent="0.3">
      <c r="A636" t="s">
        <v>1056</v>
      </c>
      <c r="B636" t="s">
        <v>852</v>
      </c>
      <c r="C636" t="s">
        <v>31</v>
      </c>
      <c r="D636" s="5">
        <v>5</v>
      </c>
      <c r="E636" t="s">
        <v>1308</v>
      </c>
      <c r="F636" t="s">
        <v>78</v>
      </c>
      <c r="G636" s="2">
        <f t="shared" si="27"/>
        <v>46284</v>
      </c>
      <c r="H636" cm="1">
        <f t="array" ref="H636">D636*_xlfn.XLOOKUP(C636,Clean_Inventry_Master!A:A,Clean_Inventry_Master!E:E,NOT FOUND,0)</f>
        <v>75</v>
      </c>
      <c r="I636" s="2">
        <f t="shared" si="28"/>
        <v>46266</v>
      </c>
      <c r="J636" t="str">
        <f t="shared" si="29"/>
        <v>Sep 2026</v>
      </c>
    </row>
    <row r="637" spans="1:10" x14ac:dyDescent="0.3">
      <c r="A637" t="s">
        <v>1057</v>
      </c>
      <c r="B637" t="s">
        <v>169</v>
      </c>
      <c r="C637" t="s">
        <v>68</v>
      </c>
      <c r="D637" s="5">
        <v>14</v>
      </c>
      <c r="E637" t="s">
        <v>91</v>
      </c>
      <c r="F637" t="s">
        <v>92</v>
      </c>
      <c r="G637" s="2">
        <f t="shared" si="27"/>
        <v>46066</v>
      </c>
      <c r="H637" cm="1">
        <f t="array" ref="H637">D637*_xlfn.XLOOKUP(C637,Clean_Inventry_Master!A:A,Clean_Inventry_Master!E:E,NOT FOUND,0)</f>
        <v>595</v>
      </c>
      <c r="I637" s="2">
        <f t="shared" si="28"/>
        <v>46054</v>
      </c>
      <c r="J637" t="str">
        <f t="shared" si="29"/>
        <v>Feb 2026</v>
      </c>
    </row>
    <row r="638" spans="1:10" x14ac:dyDescent="0.3">
      <c r="A638" t="s">
        <v>1058</v>
      </c>
      <c r="B638" t="s">
        <v>623</v>
      </c>
      <c r="C638" t="s">
        <v>12</v>
      </c>
      <c r="D638" s="5">
        <v>2</v>
      </c>
      <c r="E638" t="s">
        <v>1308</v>
      </c>
      <c r="F638" t="s">
        <v>92</v>
      </c>
      <c r="G638" s="2">
        <f t="shared" si="27"/>
        <v>46109</v>
      </c>
      <c r="H638" cm="1">
        <f t="array" ref="H638">D638*_xlfn.XLOOKUP(C638,Clean_Inventry_Master!A:A,Clean_Inventry_Master!E:E,NOT FOUND,0)</f>
        <v>190</v>
      </c>
      <c r="I638" s="2">
        <f t="shared" si="28"/>
        <v>46082</v>
      </c>
      <c r="J638" t="str">
        <f t="shared" si="29"/>
        <v>Mar 2026</v>
      </c>
    </row>
    <row r="639" spans="1:10" x14ac:dyDescent="0.3">
      <c r="A639" t="s">
        <v>1059</v>
      </c>
      <c r="B639" t="s">
        <v>641</v>
      </c>
      <c r="C639" t="s">
        <v>22</v>
      </c>
      <c r="D639" s="5">
        <v>1</v>
      </c>
      <c r="E639" t="s">
        <v>91</v>
      </c>
      <c r="F639" t="s">
        <v>92</v>
      </c>
      <c r="G639" s="2">
        <f t="shared" si="27"/>
        <v>46247</v>
      </c>
      <c r="H639" cm="1">
        <f t="array" ref="H639">D639*_xlfn.XLOOKUP(C639,Clean_Inventry_Master!A:A,Clean_Inventry_Master!E:E,NOT FOUND,0)</f>
        <v>119.99</v>
      </c>
      <c r="I639" s="2">
        <f t="shared" si="28"/>
        <v>46235</v>
      </c>
      <c r="J639" t="str">
        <f t="shared" si="29"/>
        <v>Aug 2026</v>
      </c>
    </row>
    <row r="640" spans="1:10" x14ac:dyDescent="0.3">
      <c r="A640" t="s">
        <v>1060</v>
      </c>
      <c r="B640" t="s">
        <v>715</v>
      </c>
      <c r="C640" t="s">
        <v>66</v>
      </c>
      <c r="D640" s="5">
        <v>8</v>
      </c>
      <c r="E640" t="s">
        <v>82</v>
      </c>
      <c r="F640" t="s">
        <v>83</v>
      </c>
      <c r="G640" s="2">
        <f t="shared" si="27"/>
        <v>46028</v>
      </c>
      <c r="H640" cm="1">
        <f t="array" ref="H640">D640*_xlfn.XLOOKUP(C640,Clean_Inventry_Master!A:A,Clean_Inventry_Master!E:E,NOT FOUND,0)</f>
        <v>279.92</v>
      </c>
      <c r="I640" s="2">
        <f t="shared" si="28"/>
        <v>46023</v>
      </c>
      <c r="J640" t="str">
        <f t="shared" si="29"/>
        <v>Jan 2026</v>
      </c>
    </row>
    <row r="641" spans="1:10" x14ac:dyDescent="0.3">
      <c r="A641" t="s">
        <v>1061</v>
      </c>
      <c r="B641" t="s">
        <v>391</v>
      </c>
      <c r="C641" t="s">
        <v>64</v>
      </c>
      <c r="D641" s="5">
        <v>3</v>
      </c>
      <c r="E641" t="s">
        <v>82</v>
      </c>
      <c r="F641" t="s">
        <v>78</v>
      </c>
      <c r="G641" s="2">
        <f t="shared" si="27"/>
        <v>46060</v>
      </c>
      <c r="H641" cm="1">
        <f t="array" ref="H641">D641*_xlfn.XLOOKUP(C641,Clean_Inventry_Master!A:A,Clean_Inventry_Master!E:E,NOT FOUND,0)</f>
        <v>59.97</v>
      </c>
      <c r="I641" s="2">
        <f t="shared" si="28"/>
        <v>46054</v>
      </c>
      <c r="J641" t="str">
        <f t="shared" si="29"/>
        <v>Feb 2026</v>
      </c>
    </row>
    <row r="642" spans="1:10" x14ac:dyDescent="0.3">
      <c r="A642" t="s">
        <v>1062</v>
      </c>
      <c r="B642" t="s">
        <v>753</v>
      </c>
      <c r="C642" t="s">
        <v>47</v>
      </c>
      <c r="D642" s="5">
        <v>7</v>
      </c>
      <c r="E642" t="s">
        <v>82</v>
      </c>
      <c r="F642" t="s">
        <v>92</v>
      </c>
      <c r="G642" s="2">
        <f t="shared" ref="G642:G705" si="30">IF(ISNUMBER(SEARCH("-", B642)), DATEVALUE(B642), DATE(RIGHT(B642,4), LEFT(B642, FIND("/", B642)-1), MID(B642, FIND("/", B642)+1, FIND("/", B642, FIND("/", B642)+1) - FIND("/", B642) - 1)))</f>
        <v>46255</v>
      </c>
      <c r="H642" cm="1">
        <f t="array" ref="H642">D642*_xlfn.XLOOKUP(C642,Clean_Inventry_Master!A:A,Clean_Inventry_Master!E:E,NOT FOUND,0)</f>
        <v>909.93000000000006</v>
      </c>
      <c r="I642" s="2">
        <f t="shared" ref="I642:I705" si="31">DATE(YEAR(G642),MONTH(G642),1)</f>
        <v>46235</v>
      </c>
      <c r="J642" t="str">
        <f t="shared" ref="J642:J705" si="32">TEXT(I642,"mmm yyyy")</f>
        <v>Aug 2026</v>
      </c>
    </row>
    <row r="643" spans="1:10" x14ac:dyDescent="0.3">
      <c r="A643" t="s">
        <v>1063</v>
      </c>
      <c r="B643" t="s">
        <v>469</v>
      </c>
      <c r="C643" t="s">
        <v>39</v>
      </c>
      <c r="D643" s="5">
        <v>8</v>
      </c>
      <c r="E643" t="s">
        <v>82</v>
      </c>
      <c r="F643" t="s">
        <v>83</v>
      </c>
      <c r="G643" s="2">
        <f t="shared" si="30"/>
        <v>46208</v>
      </c>
      <c r="H643" cm="1">
        <f t="array" ref="H643">D643*_xlfn.XLOOKUP(C643,Clean_Inventry_Master!A:A,Clean_Inventry_Master!E:E,NOT FOUND,0)</f>
        <v>175.92</v>
      </c>
      <c r="I643" s="2">
        <f t="shared" si="31"/>
        <v>46204</v>
      </c>
      <c r="J643" t="str">
        <f t="shared" si="32"/>
        <v>Jul 2026</v>
      </c>
    </row>
    <row r="644" spans="1:10" x14ac:dyDescent="0.3">
      <c r="A644" t="s">
        <v>1064</v>
      </c>
      <c r="B644" t="s">
        <v>344</v>
      </c>
      <c r="C644" t="s">
        <v>28</v>
      </c>
      <c r="D644" s="5">
        <v>10</v>
      </c>
      <c r="E644" t="s">
        <v>82</v>
      </c>
      <c r="F644" t="s">
        <v>92</v>
      </c>
      <c r="G644" s="2">
        <f t="shared" si="30"/>
        <v>46103</v>
      </c>
      <c r="H644" cm="1">
        <f t="array" ref="H644">D644*_xlfn.XLOOKUP(C644,Clean_Inventry_Master!A:A,Clean_Inventry_Master!E:E,NOT FOUND,0)</f>
        <v>1800</v>
      </c>
      <c r="I644" s="2">
        <f t="shared" si="31"/>
        <v>46082</v>
      </c>
      <c r="J644" t="str">
        <f t="shared" si="32"/>
        <v>Mar 2026</v>
      </c>
    </row>
    <row r="645" spans="1:10" x14ac:dyDescent="0.3">
      <c r="A645" t="s">
        <v>1065</v>
      </c>
      <c r="B645" t="s">
        <v>469</v>
      </c>
      <c r="C645" t="s">
        <v>28</v>
      </c>
      <c r="D645" s="5">
        <v>2</v>
      </c>
      <c r="E645" t="s">
        <v>77</v>
      </c>
      <c r="F645" t="s">
        <v>83</v>
      </c>
      <c r="G645" s="2">
        <f t="shared" si="30"/>
        <v>46208</v>
      </c>
      <c r="H645" cm="1">
        <f t="array" ref="H645">D645*_xlfn.XLOOKUP(C645,Clean_Inventry_Master!A:A,Clean_Inventry_Master!E:E,NOT FOUND,0)</f>
        <v>360</v>
      </c>
      <c r="I645" s="2">
        <f t="shared" si="31"/>
        <v>46204</v>
      </c>
      <c r="J645" t="str">
        <f t="shared" si="32"/>
        <v>Jul 2026</v>
      </c>
    </row>
    <row r="646" spans="1:10" x14ac:dyDescent="0.3">
      <c r="A646" t="s">
        <v>1066</v>
      </c>
      <c r="B646" t="s">
        <v>379</v>
      </c>
      <c r="C646" t="s">
        <v>31</v>
      </c>
      <c r="D646" s="5">
        <v>10</v>
      </c>
      <c r="E646" t="s">
        <v>91</v>
      </c>
      <c r="F646" t="s">
        <v>92</v>
      </c>
      <c r="G646" s="2">
        <f t="shared" si="30"/>
        <v>46035</v>
      </c>
      <c r="H646" cm="1">
        <f t="array" ref="H646">D646*_xlfn.XLOOKUP(C646,Clean_Inventry_Master!A:A,Clean_Inventry_Master!E:E,NOT FOUND,0)</f>
        <v>150</v>
      </c>
      <c r="I646" s="2">
        <f t="shared" si="31"/>
        <v>46023</v>
      </c>
      <c r="J646" t="str">
        <f t="shared" si="32"/>
        <v>Jan 2026</v>
      </c>
    </row>
    <row r="647" spans="1:10" x14ac:dyDescent="0.3">
      <c r="A647" t="s">
        <v>1067</v>
      </c>
      <c r="B647" t="s">
        <v>1068</v>
      </c>
      <c r="C647" t="s">
        <v>60</v>
      </c>
      <c r="D647" s="5">
        <v>12</v>
      </c>
      <c r="E647" t="s">
        <v>1308</v>
      </c>
      <c r="F647" t="s">
        <v>78</v>
      </c>
      <c r="G647" s="2">
        <f t="shared" si="30"/>
        <v>46254</v>
      </c>
      <c r="H647" cm="1">
        <f t="array" ref="H647">D647*_xlfn.XLOOKUP(C647,Clean_Inventry_Master!A:A,Clean_Inventry_Master!E:E,NOT FOUND,0)</f>
        <v>1079.8799999999999</v>
      </c>
      <c r="I647" s="2">
        <f t="shared" si="31"/>
        <v>46235</v>
      </c>
      <c r="J647" t="str">
        <f t="shared" si="32"/>
        <v>Aug 2026</v>
      </c>
    </row>
    <row r="648" spans="1:10" x14ac:dyDescent="0.3">
      <c r="A648" t="s">
        <v>1069</v>
      </c>
      <c r="B648" t="s">
        <v>1070</v>
      </c>
      <c r="C648" t="s">
        <v>33</v>
      </c>
      <c r="D648" s="5">
        <v>10</v>
      </c>
      <c r="E648" t="s">
        <v>1308</v>
      </c>
      <c r="F648" t="s">
        <v>78</v>
      </c>
      <c r="G648" s="2">
        <f t="shared" si="30"/>
        <v>46297</v>
      </c>
      <c r="H648" cm="1">
        <f t="array" ref="H648">D648*_xlfn.XLOOKUP(C648,Clean_Inventry_Master!A:A,Clean_Inventry_Master!E:E,NOT FOUND,0)</f>
        <v>240</v>
      </c>
      <c r="I648" s="2">
        <f t="shared" si="31"/>
        <v>46296</v>
      </c>
      <c r="J648" t="str">
        <f t="shared" si="32"/>
        <v>Oct 2026</v>
      </c>
    </row>
    <row r="649" spans="1:10" x14ac:dyDescent="0.3">
      <c r="A649" t="s">
        <v>1071</v>
      </c>
      <c r="B649" t="s">
        <v>192</v>
      </c>
      <c r="C649" t="s">
        <v>37</v>
      </c>
      <c r="D649" s="5">
        <v>8</v>
      </c>
      <c r="E649" t="s">
        <v>77</v>
      </c>
      <c r="F649" t="s">
        <v>92</v>
      </c>
      <c r="G649" s="2">
        <f t="shared" si="30"/>
        <v>46224</v>
      </c>
      <c r="H649" cm="1">
        <f t="array" ref="H649">D649*_xlfn.XLOOKUP(C649,Clean_Inventry_Master!A:A,Clean_Inventry_Master!E:E,NOT FOUND,0)</f>
        <v>360</v>
      </c>
      <c r="I649" s="2">
        <f t="shared" si="31"/>
        <v>46204</v>
      </c>
      <c r="J649" t="str">
        <f t="shared" si="32"/>
        <v>Jul 2026</v>
      </c>
    </row>
    <row r="650" spans="1:10" x14ac:dyDescent="0.3">
      <c r="A650" t="s">
        <v>1072</v>
      </c>
      <c r="B650" t="s">
        <v>1073</v>
      </c>
      <c r="C650" t="s">
        <v>66</v>
      </c>
      <c r="D650" s="5">
        <v>10</v>
      </c>
      <c r="E650" t="s">
        <v>1308</v>
      </c>
      <c r="F650" t="s">
        <v>78</v>
      </c>
      <c r="G650" s="2">
        <f t="shared" si="30"/>
        <v>46241</v>
      </c>
      <c r="H650" cm="1">
        <f t="array" ref="H650">D650*_xlfn.XLOOKUP(C650,Clean_Inventry_Master!A:A,Clean_Inventry_Master!E:E,NOT FOUND,0)</f>
        <v>349.90000000000003</v>
      </c>
      <c r="I650" s="2">
        <f t="shared" si="31"/>
        <v>46235</v>
      </c>
      <c r="J650" t="str">
        <f t="shared" si="32"/>
        <v>Aug 2026</v>
      </c>
    </row>
    <row r="651" spans="1:10" x14ac:dyDescent="0.3">
      <c r="A651" t="s">
        <v>1074</v>
      </c>
      <c r="B651" t="s">
        <v>1075</v>
      </c>
      <c r="C651" t="s">
        <v>47</v>
      </c>
      <c r="D651" s="5">
        <v>5</v>
      </c>
      <c r="E651" t="s">
        <v>82</v>
      </c>
      <c r="F651" t="s">
        <v>92</v>
      </c>
      <c r="G651" s="2">
        <f t="shared" si="30"/>
        <v>46160</v>
      </c>
      <c r="H651" cm="1">
        <f t="array" ref="H651">D651*_xlfn.XLOOKUP(C651,Clean_Inventry_Master!A:A,Clean_Inventry_Master!E:E,NOT FOUND,0)</f>
        <v>649.95000000000005</v>
      </c>
      <c r="I651" s="2">
        <f t="shared" si="31"/>
        <v>46143</v>
      </c>
      <c r="J651" t="str">
        <f t="shared" si="32"/>
        <v>May 2026</v>
      </c>
    </row>
    <row r="652" spans="1:10" x14ac:dyDescent="0.3">
      <c r="A652" t="s">
        <v>1076</v>
      </c>
      <c r="B652" t="s">
        <v>815</v>
      </c>
      <c r="C652" t="s">
        <v>28</v>
      </c>
      <c r="D652" s="5">
        <v>5</v>
      </c>
      <c r="E652" t="s">
        <v>82</v>
      </c>
      <c r="F652" t="s">
        <v>92</v>
      </c>
      <c r="G652" s="2">
        <f t="shared" si="30"/>
        <v>46225</v>
      </c>
      <c r="H652" cm="1">
        <f t="array" ref="H652">D652*_xlfn.XLOOKUP(C652,Clean_Inventry_Master!A:A,Clean_Inventry_Master!E:E,NOT FOUND,0)</f>
        <v>900</v>
      </c>
      <c r="I652" s="2">
        <f t="shared" si="31"/>
        <v>46204</v>
      </c>
      <c r="J652" t="str">
        <f t="shared" si="32"/>
        <v>Jul 2026</v>
      </c>
    </row>
    <row r="653" spans="1:10" x14ac:dyDescent="0.3">
      <c r="A653" t="s">
        <v>1077</v>
      </c>
      <c r="B653" t="s">
        <v>333</v>
      </c>
      <c r="C653" t="s">
        <v>56</v>
      </c>
      <c r="D653" s="5">
        <v>1</v>
      </c>
      <c r="E653" t="s">
        <v>91</v>
      </c>
      <c r="F653" t="s">
        <v>92</v>
      </c>
      <c r="G653" s="2">
        <f t="shared" si="30"/>
        <v>46155</v>
      </c>
      <c r="H653" cm="1">
        <f t="array" ref="H653">D653*_xlfn.XLOOKUP(C653,Clean_Inventry_Master!A:A,Clean_Inventry_Master!E:E,NOT FOUND,0)</f>
        <v>29.99</v>
      </c>
      <c r="I653" s="2">
        <f t="shared" si="31"/>
        <v>46143</v>
      </c>
      <c r="J653" t="str">
        <f t="shared" si="32"/>
        <v>May 2026</v>
      </c>
    </row>
    <row r="654" spans="1:10" x14ac:dyDescent="0.3">
      <c r="A654" t="s">
        <v>1078</v>
      </c>
      <c r="B654" t="s">
        <v>578</v>
      </c>
      <c r="C654" t="s">
        <v>16</v>
      </c>
      <c r="D654" s="5">
        <v>10</v>
      </c>
      <c r="E654" t="s">
        <v>77</v>
      </c>
      <c r="F654" t="s">
        <v>78</v>
      </c>
      <c r="G654" s="2">
        <f t="shared" si="30"/>
        <v>46123</v>
      </c>
      <c r="H654" cm="1">
        <f t="array" ref="H654">D654*_xlfn.XLOOKUP(C654,Clean_Inventry_Master!A:A,Clean_Inventry_Master!E:E,NOT FOUND,0)</f>
        <v>2290</v>
      </c>
      <c r="I654" s="2">
        <f t="shared" si="31"/>
        <v>46113</v>
      </c>
      <c r="J654" t="str">
        <f t="shared" si="32"/>
        <v>Apr 2026</v>
      </c>
    </row>
    <row r="655" spans="1:10" x14ac:dyDescent="0.3">
      <c r="A655" t="s">
        <v>1079</v>
      </c>
      <c r="B655" t="s">
        <v>1044</v>
      </c>
      <c r="C655" t="s">
        <v>60</v>
      </c>
      <c r="D655" s="5">
        <v>14</v>
      </c>
      <c r="E655" t="s">
        <v>1308</v>
      </c>
      <c r="F655" t="s">
        <v>78</v>
      </c>
      <c r="G655" s="2">
        <f t="shared" si="30"/>
        <v>46046</v>
      </c>
      <c r="H655" cm="1">
        <f t="array" ref="H655">D655*_xlfn.XLOOKUP(C655,Clean_Inventry_Master!A:A,Clean_Inventry_Master!E:E,NOT FOUND,0)</f>
        <v>1259.8599999999999</v>
      </c>
      <c r="I655" s="2">
        <f t="shared" si="31"/>
        <v>46023</v>
      </c>
      <c r="J655" t="str">
        <f t="shared" si="32"/>
        <v>Jan 2026</v>
      </c>
    </row>
    <row r="656" spans="1:10" x14ac:dyDescent="0.3">
      <c r="A656" t="s">
        <v>1080</v>
      </c>
      <c r="B656" t="s">
        <v>177</v>
      </c>
      <c r="C656" t="s">
        <v>24</v>
      </c>
      <c r="D656" s="5">
        <v>8</v>
      </c>
      <c r="E656" t="s">
        <v>91</v>
      </c>
      <c r="F656" t="s">
        <v>92</v>
      </c>
      <c r="G656" s="2">
        <f t="shared" si="30"/>
        <v>46129</v>
      </c>
      <c r="H656" cm="1">
        <f t="array" ref="H656">D656*_xlfn.XLOOKUP(C656,Clean_Inventry_Master!A:A,Clean_Inventry_Master!E:E,NOT FOUND,0)</f>
        <v>1119.92</v>
      </c>
      <c r="I656" s="2">
        <f t="shared" si="31"/>
        <v>46113</v>
      </c>
      <c r="J656" t="str">
        <f t="shared" si="32"/>
        <v>Apr 2026</v>
      </c>
    </row>
    <row r="657" spans="1:10" x14ac:dyDescent="0.3">
      <c r="A657" t="s">
        <v>1081</v>
      </c>
      <c r="B657" t="s">
        <v>218</v>
      </c>
      <c r="C657" t="s">
        <v>49</v>
      </c>
      <c r="D657" s="5">
        <v>14</v>
      </c>
      <c r="E657" t="s">
        <v>82</v>
      </c>
      <c r="F657" t="s">
        <v>78</v>
      </c>
      <c r="G657" s="2">
        <f t="shared" si="30"/>
        <v>46166</v>
      </c>
      <c r="H657" cm="1">
        <f t="array" ref="H657">D657*_xlfn.XLOOKUP(C657,Clean_Inventry_Master!A:A,Clean_Inventry_Master!E:E,NOT FOUND,0)</f>
        <v>699.86</v>
      </c>
      <c r="I657" s="2">
        <f t="shared" si="31"/>
        <v>46143</v>
      </c>
      <c r="J657" t="str">
        <f t="shared" si="32"/>
        <v>May 2026</v>
      </c>
    </row>
    <row r="658" spans="1:10" x14ac:dyDescent="0.3">
      <c r="A658" t="s">
        <v>1082</v>
      </c>
      <c r="B658" t="s">
        <v>763</v>
      </c>
      <c r="C658" t="s">
        <v>16</v>
      </c>
      <c r="D658" s="5">
        <v>3</v>
      </c>
      <c r="E658" t="s">
        <v>82</v>
      </c>
      <c r="F658" t="s">
        <v>78</v>
      </c>
      <c r="G658" s="2">
        <f t="shared" si="30"/>
        <v>46223</v>
      </c>
      <c r="H658" cm="1">
        <f t="array" ref="H658">D658*_xlfn.XLOOKUP(C658,Clean_Inventry_Master!A:A,Clean_Inventry_Master!E:E,NOT FOUND,0)</f>
        <v>687</v>
      </c>
      <c r="I658" s="2">
        <f t="shared" si="31"/>
        <v>46204</v>
      </c>
      <c r="J658" t="str">
        <f t="shared" si="32"/>
        <v>Jul 2026</v>
      </c>
    </row>
    <row r="659" spans="1:10" x14ac:dyDescent="0.3">
      <c r="A659" t="s">
        <v>1083</v>
      </c>
      <c r="B659" t="s">
        <v>1084</v>
      </c>
      <c r="C659" t="s">
        <v>33</v>
      </c>
      <c r="D659" s="5">
        <v>14</v>
      </c>
      <c r="E659" t="s">
        <v>91</v>
      </c>
      <c r="F659" t="s">
        <v>83</v>
      </c>
      <c r="G659" s="2">
        <f t="shared" si="30"/>
        <v>46024</v>
      </c>
      <c r="H659" cm="1">
        <f t="array" ref="H659">D659*_xlfn.XLOOKUP(C659,Clean_Inventry_Master!A:A,Clean_Inventry_Master!E:E,NOT FOUND,0)</f>
        <v>336</v>
      </c>
      <c r="I659" s="2">
        <f t="shared" si="31"/>
        <v>46023</v>
      </c>
      <c r="J659" t="str">
        <f t="shared" si="32"/>
        <v>Jan 2026</v>
      </c>
    </row>
    <row r="660" spans="1:10" x14ac:dyDescent="0.3">
      <c r="A660" t="s">
        <v>1085</v>
      </c>
      <c r="B660" t="s">
        <v>328</v>
      </c>
      <c r="C660" t="s">
        <v>39</v>
      </c>
      <c r="D660" s="5">
        <v>12</v>
      </c>
      <c r="E660" t="s">
        <v>82</v>
      </c>
      <c r="F660" t="s">
        <v>92</v>
      </c>
      <c r="G660" s="2">
        <f t="shared" si="30"/>
        <v>46076</v>
      </c>
      <c r="H660" cm="1">
        <f t="array" ref="H660">D660*_xlfn.XLOOKUP(C660,Clean_Inventry_Master!A:A,Clean_Inventry_Master!E:E,NOT FOUND,0)</f>
        <v>263.88</v>
      </c>
      <c r="I660" s="2">
        <f t="shared" si="31"/>
        <v>46054</v>
      </c>
      <c r="J660" t="str">
        <f t="shared" si="32"/>
        <v>Feb 2026</v>
      </c>
    </row>
    <row r="661" spans="1:10" x14ac:dyDescent="0.3">
      <c r="A661" t="s">
        <v>1086</v>
      </c>
      <c r="B661" t="s">
        <v>753</v>
      </c>
      <c r="C661" t="s">
        <v>56</v>
      </c>
      <c r="D661" s="5">
        <v>7</v>
      </c>
      <c r="E661" t="s">
        <v>91</v>
      </c>
      <c r="F661" t="s">
        <v>83</v>
      </c>
      <c r="G661" s="2">
        <f t="shared" si="30"/>
        <v>46255</v>
      </c>
      <c r="H661" cm="1">
        <f t="array" ref="H661">D661*_xlfn.XLOOKUP(C661,Clean_Inventry_Master!A:A,Clean_Inventry_Master!E:E,NOT FOUND,0)</f>
        <v>209.92999999999998</v>
      </c>
      <c r="I661" s="2">
        <f t="shared" si="31"/>
        <v>46235</v>
      </c>
      <c r="J661" t="str">
        <f t="shared" si="32"/>
        <v>Aug 2026</v>
      </c>
    </row>
    <row r="662" spans="1:10" x14ac:dyDescent="0.3">
      <c r="A662" t="s">
        <v>1087</v>
      </c>
      <c r="B662" t="s">
        <v>936</v>
      </c>
      <c r="C662" t="s">
        <v>54</v>
      </c>
      <c r="D662" s="5">
        <v>7</v>
      </c>
      <c r="E662" t="s">
        <v>77</v>
      </c>
      <c r="F662" t="s">
        <v>83</v>
      </c>
      <c r="G662" s="2">
        <f t="shared" si="30"/>
        <v>46246</v>
      </c>
      <c r="H662" cm="1">
        <f t="array" ref="H662">D662*_xlfn.XLOOKUP(C662,Clean_Inventry_Master!A:A,Clean_Inventry_Master!E:E,NOT FOUND,0)</f>
        <v>2449.9300000000003</v>
      </c>
      <c r="I662" s="2">
        <f t="shared" si="31"/>
        <v>46235</v>
      </c>
      <c r="J662" t="str">
        <f t="shared" si="32"/>
        <v>Aug 2026</v>
      </c>
    </row>
    <row r="663" spans="1:10" x14ac:dyDescent="0.3">
      <c r="A663" t="s">
        <v>1088</v>
      </c>
      <c r="B663" t="s">
        <v>1089</v>
      </c>
      <c r="C663" t="s">
        <v>52</v>
      </c>
      <c r="D663" s="5">
        <v>3</v>
      </c>
      <c r="E663" t="s">
        <v>1308</v>
      </c>
      <c r="F663" t="s">
        <v>92</v>
      </c>
      <c r="G663" s="2">
        <f t="shared" si="30"/>
        <v>46302</v>
      </c>
      <c r="H663" cm="1">
        <f t="array" ref="H663">D663*_xlfn.XLOOKUP(C663,Clean_Inventry_Master!A:A,Clean_Inventry_Master!E:E,NOT FOUND,0)</f>
        <v>89.97</v>
      </c>
      <c r="I663" s="2">
        <f t="shared" si="31"/>
        <v>46296</v>
      </c>
      <c r="J663" t="str">
        <f t="shared" si="32"/>
        <v>Oct 2026</v>
      </c>
    </row>
    <row r="664" spans="1:10" x14ac:dyDescent="0.3">
      <c r="A664" t="s">
        <v>1090</v>
      </c>
      <c r="B664" t="s">
        <v>794</v>
      </c>
      <c r="C664" t="s">
        <v>31</v>
      </c>
      <c r="D664" s="5">
        <v>9</v>
      </c>
      <c r="E664" t="s">
        <v>1308</v>
      </c>
      <c r="F664" t="s">
        <v>78</v>
      </c>
      <c r="G664" s="2">
        <f t="shared" si="30"/>
        <v>46045</v>
      </c>
      <c r="H664" cm="1">
        <f t="array" ref="H664">D664*_xlfn.XLOOKUP(C664,Clean_Inventry_Master!A:A,Clean_Inventry_Master!E:E,NOT FOUND,0)</f>
        <v>135</v>
      </c>
      <c r="I664" s="2">
        <f t="shared" si="31"/>
        <v>46023</v>
      </c>
      <c r="J664" t="str">
        <f t="shared" si="32"/>
        <v>Jan 2026</v>
      </c>
    </row>
    <row r="665" spans="1:10" x14ac:dyDescent="0.3">
      <c r="A665" t="s">
        <v>1091</v>
      </c>
      <c r="B665" t="s">
        <v>695</v>
      </c>
      <c r="C665" t="s">
        <v>60</v>
      </c>
      <c r="D665" s="5">
        <v>10</v>
      </c>
      <c r="E665" t="s">
        <v>91</v>
      </c>
      <c r="F665" t="s">
        <v>78</v>
      </c>
      <c r="G665" s="2">
        <f t="shared" si="30"/>
        <v>46050</v>
      </c>
      <c r="H665" cm="1">
        <f t="array" ref="H665">D665*_xlfn.XLOOKUP(C665,Clean_Inventry_Master!A:A,Clean_Inventry_Master!E:E,NOT FOUND,0)</f>
        <v>899.9</v>
      </c>
      <c r="I665" s="2">
        <f t="shared" si="31"/>
        <v>46023</v>
      </c>
      <c r="J665" t="str">
        <f t="shared" si="32"/>
        <v>Jan 2026</v>
      </c>
    </row>
    <row r="666" spans="1:10" x14ac:dyDescent="0.3">
      <c r="A666" t="s">
        <v>1092</v>
      </c>
      <c r="B666" t="s">
        <v>593</v>
      </c>
      <c r="C666" t="s">
        <v>24</v>
      </c>
      <c r="D666" s="5">
        <v>13</v>
      </c>
      <c r="E666" t="s">
        <v>91</v>
      </c>
      <c r="F666" t="s">
        <v>92</v>
      </c>
      <c r="G666" s="2">
        <f t="shared" si="30"/>
        <v>46116</v>
      </c>
      <c r="H666" cm="1">
        <f t="array" ref="H666">D666*_xlfn.XLOOKUP(C666,Clean_Inventry_Master!A:A,Clean_Inventry_Master!E:E,NOT FOUND,0)</f>
        <v>1819.8700000000001</v>
      </c>
      <c r="I666" s="2">
        <f t="shared" si="31"/>
        <v>46113</v>
      </c>
      <c r="J666" t="str">
        <f t="shared" si="32"/>
        <v>Apr 2026</v>
      </c>
    </row>
    <row r="667" spans="1:10" x14ac:dyDescent="0.3">
      <c r="A667" t="s">
        <v>1093</v>
      </c>
      <c r="B667" t="s">
        <v>650</v>
      </c>
      <c r="C667" t="s">
        <v>22</v>
      </c>
      <c r="D667" s="5">
        <v>2</v>
      </c>
      <c r="E667" t="s">
        <v>77</v>
      </c>
      <c r="F667" t="s">
        <v>78</v>
      </c>
      <c r="G667" s="2">
        <f t="shared" si="30"/>
        <v>46099</v>
      </c>
      <c r="H667" cm="1">
        <f t="array" ref="H667">D667*_xlfn.XLOOKUP(C667,Clean_Inventry_Master!A:A,Clean_Inventry_Master!E:E,NOT FOUND,0)</f>
        <v>239.98</v>
      </c>
      <c r="I667" s="2">
        <f t="shared" si="31"/>
        <v>46082</v>
      </c>
      <c r="J667" t="str">
        <f t="shared" si="32"/>
        <v>Mar 2026</v>
      </c>
    </row>
    <row r="668" spans="1:10" x14ac:dyDescent="0.3">
      <c r="A668" t="s">
        <v>1094</v>
      </c>
      <c r="B668" t="s">
        <v>551</v>
      </c>
      <c r="C668" t="s">
        <v>31</v>
      </c>
      <c r="D668" s="5">
        <v>5</v>
      </c>
      <c r="E668" t="s">
        <v>82</v>
      </c>
      <c r="F668" t="s">
        <v>83</v>
      </c>
      <c r="G668" s="2">
        <f t="shared" si="30"/>
        <v>46257</v>
      </c>
      <c r="H668" cm="1">
        <f t="array" ref="H668">D668*_xlfn.XLOOKUP(C668,Clean_Inventry_Master!A:A,Clean_Inventry_Master!E:E,NOT FOUND,0)</f>
        <v>75</v>
      </c>
      <c r="I668" s="2">
        <f t="shared" si="31"/>
        <v>46235</v>
      </c>
      <c r="J668" t="str">
        <f t="shared" si="32"/>
        <v>Aug 2026</v>
      </c>
    </row>
    <row r="669" spans="1:10" x14ac:dyDescent="0.3">
      <c r="A669" t="s">
        <v>1095</v>
      </c>
      <c r="B669" t="s">
        <v>446</v>
      </c>
      <c r="C669" t="s">
        <v>7</v>
      </c>
      <c r="D669" s="5">
        <v>10</v>
      </c>
      <c r="E669" t="s">
        <v>1308</v>
      </c>
      <c r="F669" t="s">
        <v>92</v>
      </c>
      <c r="G669" s="2">
        <f t="shared" si="30"/>
        <v>46261</v>
      </c>
      <c r="H669" cm="1">
        <f t="array" ref="H669">D669*_xlfn.XLOOKUP(C669,Clean_Inventry_Master!A:A,Clean_Inventry_Master!E:E,NOT FOUND,0)</f>
        <v>450</v>
      </c>
      <c r="I669" s="2">
        <f t="shared" si="31"/>
        <v>46235</v>
      </c>
      <c r="J669" t="str">
        <f t="shared" si="32"/>
        <v>Aug 2026</v>
      </c>
    </row>
    <row r="670" spans="1:10" x14ac:dyDescent="0.3">
      <c r="A670" t="s">
        <v>1096</v>
      </c>
      <c r="B670" t="s">
        <v>524</v>
      </c>
      <c r="C670" t="s">
        <v>60</v>
      </c>
      <c r="D670" s="5">
        <v>2</v>
      </c>
      <c r="E670" t="s">
        <v>77</v>
      </c>
      <c r="F670" t="s">
        <v>92</v>
      </c>
      <c r="G670" s="2">
        <f t="shared" si="30"/>
        <v>46230</v>
      </c>
      <c r="H670" cm="1">
        <f t="array" ref="H670">D670*_xlfn.XLOOKUP(C670,Clean_Inventry_Master!A:A,Clean_Inventry_Master!E:E,NOT FOUND,0)</f>
        <v>179.98</v>
      </c>
      <c r="I670" s="2">
        <f t="shared" si="31"/>
        <v>46204</v>
      </c>
      <c r="J670" t="str">
        <f t="shared" si="32"/>
        <v>Jul 2026</v>
      </c>
    </row>
    <row r="671" spans="1:10" x14ac:dyDescent="0.3">
      <c r="A671" t="s">
        <v>1097</v>
      </c>
      <c r="B671" t="s">
        <v>118</v>
      </c>
      <c r="C671" t="s">
        <v>20</v>
      </c>
      <c r="D671" s="5">
        <v>11</v>
      </c>
      <c r="E671" t="s">
        <v>77</v>
      </c>
      <c r="F671" t="s">
        <v>83</v>
      </c>
      <c r="G671" s="2">
        <f t="shared" si="30"/>
        <v>46209</v>
      </c>
      <c r="H671" cm="1">
        <f t="array" ref="H671">D671*_xlfn.XLOOKUP(C671,Clean_Inventry_Master!A:A,Clean_Inventry_Master!E:E,NOT FOUND,0)</f>
        <v>879.89</v>
      </c>
      <c r="I671" s="2">
        <f t="shared" si="31"/>
        <v>46204</v>
      </c>
      <c r="J671" t="str">
        <f t="shared" si="32"/>
        <v>Jul 2026</v>
      </c>
    </row>
    <row r="672" spans="1:10" x14ac:dyDescent="0.3">
      <c r="A672" t="s">
        <v>1098</v>
      </c>
      <c r="B672" t="s">
        <v>821</v>
      </c>
      <c r="C672" t="s">
        <v>10</v>
      </c>
      <c r="D672" s="5">
        <v>12</v>
      </c>
      <c r="E672" t="s">
        <v>91</v>
      </c>
      <c r="F672" t="s">
        <v>92</v>
      </c>
      <c r="G672" s="2">
        <f t="shared" si="30"/>
        <v>46170</v>
      </c>
      <c r="H672" cm="1">
        <f t="array" ref="H672">D672*_xlfn.XLOOKUP(C672,Clean_Inventry_Master!A:A,Clean_Inventry_Master!E:E,NOT FOUND,0)</f>
        <v>5988</v>
      </c>
      <c r="I672" s="2">
        <f t="shared" si="31"/>
        <v>46143</v>
      </c>
      <c r="J672" t="str">
        <f t="shared" si="32"/>
        <v>May 2026</v>
      </c>
    </row>
    <row r="673" spans="1:10" x14ac:dyDescent="0.3">
      <c r="A673" t="s">
        <v>1099</v>
      </c>
      <c r="B673" t="s">
        <v>553</v>
      </c>
      <c r="C673" t="s">
        <v>64</v>
      </c>
      <c r="D673" s="5">
        <v>10</v>
      </c>
      <c r="E673" t="s">
        <v>77</v>
      </c>
      <c r="F673" t="s">
        <v>83</v>
      </c>
      <c r="G673" s="2">
        <f t="shared" si="30"/>
        <v>46245</v>
      </c>
      <c r="H673" cm="1">
        <f t="array" ref="H673">D673*_xlfn.XLOOKUP(C673,Clean_Inventry_Master!A:A,Clean_Inventry_Master!E:E,NOT FOUND,0)</f>
        <v>199.89999999999998</v>
      </c>
      <c r="I673" s="2">
        <f t="shared" si="31"/>
        <v>46235</v>
      </c>
      <c r="J673" t="str">
        <f t="shared" si="32"/>
        <v>Aug 2026</v>
      </c>
    </row>
    <row r="674" spans="1:10" x14ac:dyDescent="0.3">
      <c r="A674" t="s">
        <v>1100</v>
      </c>
      <c r="B674" t="s">
        <v>257</v>
      </c>
      <c r="C674" t="s">
        <v>66</v>
      </c>
      <c r="D674" s="5">
        <v>9</v>
      </c>
      <c r="E674" t="s">
        <v>77</v>
      </c>
      <c r="F674" t="s">
        <v>83</v>
      </c>
      <c r="G674" s="2">
        <f t="shared" si="30"/>
        <v>46176</v>
      </c>
      <c r="H674" cm="1">
        <f t="array" ref="H674">D674*_xlfn.XLOOKUP(C674,Clean_Inventry_Master!A:A,Clean_Inventry_Master!E:E,NOT FOUND,0)</f>
        <v>314.91000000000003</v>
      </c>
      <c r="I674" s="2">
        <f t="shared" si="31"/>
        <v>46174</v>
      </c>
      <c r="J674" t="str">
        <f t="shared" si="32"/>
        <v>Jun 2026</v>
      </c>
    </row>
    <row r="675" spans="1:10" x14ac:dyDescent="0.3">
      <c r="A675" t="s">
        <v>1101</v>
      </c>
      <c r="B675" t="s">
        <v>827</v>
      </c>
      <c r="C675" t="s">
        <v>45</v>
      </c>
      <c r="D675" s="5">
        <v>9</v>
      </c>
      <c r="E675" t="s">
        <v>82</v>
      </c>
      <c r="F675" t="s">
        <v>83</v>
      </c>
      <c r="G675" s="2">
        <f t="shared" si="30"/>
        <v>46177</v>
      </c>
      <c r="H675" cm="1">
        <f t="array" ref="H675">D675*_xlfn.XLOOKUP(C675,Clean_Inventry_Master!A:A,Clean_Inventry_Master!E:E,NOT FOUND,0)</f>
        <v>170.91</v>
      </c>
      <c r="I675" s="2">
        <f t="shared" si="31"/>
        <v>46174</v>
      </c>
      <c r="J675" t="str">
        <f t="shared" si="32"/>
        <v>Jun 2026</v>
      </c>
    </row>
    <row r="676" spans="1:10" x14ac:dyDescent="0.3">
      <c r="A676" t="s">
        <v>1102</v>
      </c>
      <c r="B676" t="s">
        <v>320</v>
      </c>
      <c r="C676" t="s">
        <v>64</v>
      </c>
      <c r="D676" s="5">
        <v>9</v>
      </c>
      <c r="E676" t="s">
        <v>91</v>
      </c>
      <c r="F676" t="s">
        <v>92</v>
      </c>
      <c r="G676" s="2">
        <f t="shared" si="30"/>
        <v>46065</v>
      </c>
      <c r="H676" cm="1">
        <f t="array" ref="H676">D676*_xlfn.XLOOKUP(C676,Clean_Inventry_Master!A:A,Clean_Inventry_Master!E:E,NOT FOUND,0)</f>
        <v>179.91</v>
      </c>
      <c r="I676" s="2">
        <f t="shared" si="31"/>
        <v>46054</v>
      </c>
      <c r="J676" t="str">
        <f t="shared" si="32"/>
        <v>Feb 2026</v>
      </c>
    </row>
    <row r="677" spans="1:10" x14ac:dyDescent="0.3">
      <c r="A677" t="s">
        <v>1103</v>
      </c>
      <c r="B677" t="s">
        <v>225</v>
      </c>
      <c r="C677" t="s">
        <v>62</v>
      </c>
      <c r="D677" s="5">
        <v>1</v>
      </c>
      <c r="E677" t="s">
        <v>1308</v>
      </c>
      <c r="F677" t="s">
        <v>78</v>
      </c>
      <c r="G677" s="2">
        <f t="shared" si="30"/>
        <v>46146</v>
      </c>
      <c r="H677" cm="1">
        <f t="array" ref="H677">D677*_xlfn.XLOOKUP(C677,Clean_Inventry_Master!A:A,Clean_Inventry_Master!E:E,NOT FOUND,0)</f>
        <v>27.5</v>
      </c>
      <c r="I677" s="2">
        <f t="shared" si="31"/>
        <v>46143</v>
      </c>
      <c r="J677" t="str">
        <f t="shared" si="32"/>
        <v>May 2026</v>
      </c>
    </row>
    <row r="678" spans="1:10" x14ac:dyDescent="0.3">
      <c r="A678" t="s">
        <v>1104</v>
      </c>
      <c r="B678" t="s">
        <v>1105</v>
      </c>
      <c r="C678" t="s">
        <v>41</v>
      </c>
      <c r="D678" s="5">
        <v>8</v>
      </c>
      <c r="E678" t="s">
        <v>82</v>
      </c>
      <c r="F678" t="s">
        <v>78</v>
      </c>
      <c r="G678" s="2">
        <f t="shared" si="30"/>
        <v>46092</v>
      </c>
      <c r="H678" cm="1">
        <f t="array" ref="H678">D678*_xlfn.XLOOKUP(C678,Clean_Inventry_Master!A:A,Clean_Inventry_Master!E:E,NOT FOUND,0)</f>
        <v>319.92</v>
      </c>
      <c r="I678" s="2">
        <f t="shared" si="31"/>
        <v>46082</v>
      </c>
      <c r="J678" t="str">
        <f t="shared" si="32"/>
        <v>Mar 2026</v>
      </c>
    </row>
    <row r="679" spans="1:10" x14ac:dyDescent="0.3">
      <c r="A679" t="s">
        <v>1106</v>
      </c>
      <c r="B679" t="s">
        <v>157</v>
      </c>
      <c r="C679" t="s">
        <v>64</v>
      </c>
      <c r="D679" s="5">
        <v>2</v>
      </c>
      <c r="E679" t="s">
        <v>82</v>
      </c>
      <c r="F679" t="s">
        <v>92</v>
      </c>
      <c r="G679" s="2">
        <f t="shared" si="30"/>
        <v>46233</v>
      </c>
      <c r="H679" cm="1">
        <f t="array" ref="H679">D679*_xlfn.XLOOKUP(C679,Clean_Inventry_Master!A:A,Clean_Inventry_Master!E:E,NOT FOUND,0)</f>
        <v>39.979999999999997</v>
      </c>
      <c r="I679" s="2">
        <f t="shared" si="31"/>
        <v>46204</v>
      </c>
      <c r="J679" t="str">
        <f t="shared" si="32"/>
        <v>Jul 2026</v>
      </c>
    </row>
    <row r="680" spans="1:10" x14ac:dyDescent="0.3">
      <c r="A680" t="s">
        <v>1107</v>
      </c>
      <c r="B680" t="s">
        <v>1108</v>
      </c>
      <c r="C680" t="s">
        <v>47</v>
      </c>
      <c r="D680" s="5">
        <v>7</v>
      </c>
      <c r="E680" t="s">
        <v>77</v>
      </c>
      <c r="F680" t="s">
        <v>83</v>
      </c>
      <c r="G680" s="2">
        <f t="shared" si="30"/>
        <v>46071</v>
      </c>
      <c r="H680" cm="1">
        <f t="array" ref="H680">D680*_xlfn.XLOOKUP(C680,Clean_Inventry_Master!A:A,Clean_Inventry_Master!E:E,NOT FOUND,0)</f>
        <v>909.93000000000006</v>
      </c>
      <c r="I680" s="2">
        <f t="shared" si="31"/>
        <v>46054</v>
      </c>
      <c r="J680" t="str">
        <f t="shared" si="32"/>
        <v>Feb 2026</v>
      </c>
    </row>
    <row r="681" spans="1:10" x14ac:dyDescent="0.3">
      <c r="A681" t="s">
        <v>1109</v>
      </c>
      <c r="B681" t="s">
        <v>578</v>
      </c>
      <c r="C681" t="s">
        <v>37</v>
      </c>
      <c r="D681" s="5">
        <v>4</v>
      </c>
      <c r="E681" t="s">
        <v>82</v>
      </c>
      <c r="F681" t="s">
        <v>92</v>
      </c>
      <c r="G681" s="2">
        <f t="shared" si="30"/>
        <v>46123</v>
      </c>
      <c r="H681" cm="1">
        <f t="array" ref="H681">D681*_xlfn.XLOOKUP(C681,Clean_Inventry_Master!A:A,Clean_Inventry_Master!E:E,NOT FOUND,0)</f>
        <v>180</v>
      </c>
      <c r="I681" s="2">
        <f t="shared" si="31"/>
        <v>46113</v>
      </c>
      <c r="J681" t="str">
        <f t="shared" si="32"/>
        <v>Apr 2026</v>
      </c>
    </row>
    <row r="682" spans="1:10" x14ac:dyDescent="0.3">
      <c r="A682" t="s">
        <v>1110</v>
      </c>
      <c r="B682" t="s">
        <v>663</v>
      </c>
      <c r="C682" t="s">
        <v>47</v>
      </c>
      <c r="D682" s="5">
        <v>10</v>
      </c>
      <c r="E682" t="s">
        <v>77</v>
      </c>
      <c r="F682" t="s">
        <v>83</v>
      </c>
      <c r="G682" s="2">
        <f t="shared" si="30"/>
        <v>46090</v>
      </c>
      <c r="H682" cm="1">
        <f t="array" ref="H682">D682*_xlfn.XLOOKUP(C682,Clean_Inventry_Master!A:A,Clean_Inventry_Master!E:E,NOT FOUND,0)</f>
        <v>1299.9000000000001</v>
      </c>
      <c r="I682" s="2">
        <f t="shared" si="31"/>
        <v>46082</v>
      </c>
      <c r="J682" t="str">
        <f t="shared" si="32"/>
        <v>Mar 2026</v>
      </c>
    </row>
    <row r="683" spans="1:10" x14ac:dyDescent="0.3">
      <c r="A683" t="s">
        <v>1111</v>
      </c>
      <c r="B683" t="s">
        <v>471</v>
      </c>
      <c r="C683" t="s">
        <v>24</v>
      </c>
      <c r="D683" s="5">
        <v>11</v>
      </c>
      <c r="E683" t="s">
        <v>91</v>
      </c>
      <c r="F683" t="s">
        <v>92</v>
      </c>
      <c r="G683" s="2">
        <f t="shared" si="30"/>
        <v>46277</v>
      </c>
      <c r="H683" cm="1">
        <f t="array" ref="H683">D683*_xlfn.XLOOKUP(C683,Clean_Inventry_Master!A:A,Clean_Inventry_Master!E:E,NOT FOUND,0)</f>
        <v>1539.89</v>
      </c>
      <c r="I683" s="2">
        <f t="shared" si="31"/>
        <v>46266</v>
      </c>
      <c r="J683" t="str">
        <f t="shared" si="32"/>
        <v>Sep 2026</v>
      </c>
    </row>
    <row r="684" spans="1:10" x14ac:dyDescent="0.3">
      <c r="A684" t="s">
        <v>1112</v>
      </c>
      <c r="B684" t="s">
        <v>333</v>
      </c>
      <c r="C684" t="s">
        <v>20</v>
      </c>
      <c r="D684" s="5">
        <v>5</v>
      </c>
      <c r="E684" t="s">
        <v>82</v>
      </c>
      <c r="F684" t="s">
        <v>78</v>
      </c>
      <c r="G684" s="2">
        <f t="shared" si="30"/>
        <v>46155</v>
      </c>
      <c r="H684" cm="1">
        <f t="array" ref="H684">D684*_xlfn.XLOOKUP(C684,Clean_Inventry_Master!A:A,Clean_Inventry_Master!E:E,NOT FOUND,0)</f>
        <v>399.95</v>
      </c>
      <c r="I684" s="2">
        <f t="shared" si="31"/>
        <v>46143</v>
      </c>
      <c r="J684" t="str">
        <f t="shared" si="32"/>
        <v>May 2026</v>
      </c>
    </row>
    <row r="685" spans="1:10" x14ac:dyDescent="0.3">
      <c r="A685" t="s">
        <v>1113</v>
      </c>
      <c r="B685" t="s">
        <v>469</v>
      </c>
      <c r="C685" t="s">
        <v>68</v>
      </c>
      <c r="D685" s="5">
        <v>6</v>
      </c>
      <c r="E685" t="s">
        <v>91</v>
      </c>
      <c r="F685" t="s">
        <v>92</v>
      </c>
      <c r="G685" s="2">
        <f t="shared" si="30"/>
        <v>46208</v>
      </c>
      <c r="H685" cm="1">
        <f t="array" ref="H685">D685*_xlfn.XLOOKUP(C685,Clean_Inventry_Master!A:A,Clean_Inventry_Master!E:E,NOT FOUND,0)</f>
        <v>255</v>
      </c>
      <c r="I685" s="2">
        <f t="shared" si="31"/>
        <v>46204</v>
      </c>
      <c r="J685" t="str">
        <f t="shared" si="32"/>
        <v>Jul 2026</v>
      </c>
    </row>
    <row r="686" spans="1:10" x14ac:dyDescent="0.3">
      <c r="A686" t="s">
        <v>1114</v>
      </c>
      <c r="B686" t="s">
        <v>542</v>
      </c>
      <c r="C686" t="s">
        <v>56</v>
      </c>
      <c r="D686" s="5">
        <v>10</v>
      </c>
      <c r="E686" t="s">
        <v>91</v>
      </c>
      <c r="F686" t="s">
        <v>92</v>
      </c>
      <c r="G686" s="2">
        <f t="shared" si="30"/>
        <v>46232</v>
      </c>
      <c r="H686" cm="1">
        <f t="array" ref="H686">D686*_xlfn.XLOOKUP(C686,Clean_Inventry_Master!A:A,Clean_Inventry_Master!E:E,NOT FOUND,0)</f>
        <v>299.89999999999998</v>
      </c>
      <c r="I686" s="2">
        <f t="shared" si="31"/>
        <v>46204</v>
      </c>
      <c r="J686" t="str">
        <f t="shared" si="32"/>
        <v>Jul 2026</v>
      </c>
    </row>
    <row r="687" spans="1:10" x14ac:dyDescent="0.3">
      <c r="A687" t="s">
        <v>1115</v>
      </c>
      <c r="B687" t="s">
        <v>1040</v>
      </c>
      <c r="C687" t="s">
        <v>41</v>
      </c>
      <c r="D687" s="5">
        <v>14</v>
      </c>
      <c r="E687" t="s">
        <v>82</v>
      </c>
      <c r="F687" t="s">
        <v>83</v>
      </c>
      <c r="G687" s="2">
        <f t="shared" si="30"/>
        <v>46142</v>
      </c>
      <c r="H687" cm="1">
        <f t="array" ref="H687">D687*_xlfn.XLOOKUP(C687,Clean_Inventry_Master!A:A,Clean_Inventry_Master!E:E,NOT FOUND,0)</f>
        <v>559.86</v>
      </c>
      <c r="I687" s="2">
        <f t="shared" si="31"/>
        <v>46113</v>
      </c>
      <c r="J687" t="str">
        <f t="shared" si="32"/>
        <v>Apr 2026</v>
      </c>
    </row>
    <row r="688" spans="1:10" x14ac:dyDescent="0.3">
      <c r="A688" t="s">
        <v>1116</v>
      </c>
      <c r="B688" t="s">
        <v>90</v>
      </c>
      <c r="C688" t="s">
        <v>58</v>
      </c>
      <c r="D688" s="5">
        <v>2</v>
      </c>
      <c r="E688" t="s">
        <v>1308</v>
      </c>
      <c r="F688" t="s">
        <v>78</v>
      </c>
      <c r="G688" s="2">
        <f t="shared" si="30"/>
        <v>46253</v>
      </c>
      <c r="H688" cm="1">
        <f t="array" ref="H688">D688*_xlfn.XLOOKUP(C688,Clean_Inventry_Master!A:A,Clean_Inventry_Master!E:E,NOT FOUND,0)</f>
        <v>119.98</v>
      </c>
      <c r="I688" s="2">
        <f t="shared" si="31"/>
        <v>46235</v>
      </c>
      <c r="J688" t="str">
        <f t="shared" si="32"/>
        <v>Aug 2026</v>
      </c>
    </row>
    <row r="689" spans="1:10" x14ac:dyDescent="0.3">
      <c r="A689" t="s">
        <v>1117</v>
      </c>
      <c r="B689" t="s">
        <v>655</v>
      </c>
      <c r="C689" t="s">
        <v>52</v>
      </c>
      <c r="D689" s="5">
        <v>12</v>
      </c>
      <c r="E689" t="s">
        <v>91</v>
      </c>
      <c r="F689" t="s">
        <v>83</v>
      </c>
      <c r="G689" s="2">
        <f t="shared" si="30"/>
        <v>46034</v>
      </c>
      <c r="H689" cm="1">
        <f t="array" ref="H689">D689*_xlfn.XLOOKUP(C689,Clean_Inventry_Master!A:A,Clean_Inventry_Master!E:E,NOT FOUND,0)</f>
        <v>359.88</v>
      </c>
      <c r="I689" s="2">
        <f t="shared" si="31"/>
        <v>46023</v>
      </c>
      <c r="J689" t="str">
        <f t="shared" si="32"/>
        <v>Jan 2026</v>
      </c>
    </row>
    <row r="690" spans="1:10" x14ac:dyDescent="0.3">
      <c r="A690" t="s">
        <v>1118</v>
      </c>
      <c r="B690" t="s">
        <v>988</v>
      </c>
      <c r="C690" t="s">
        <v>24</v>
      </c>
      <c r="D690" s="5">
        <v>7</v>
      </c>
      <c r="E690" t="s">
        <v>77</v>
      </c>
      <c r="F690" t="s">
        <v>83</v>
      </c>
      <c r="G690" s="2">
        <f t="shared" si="30"/>
        <v>46122</v>
      </c>
      <c r="H690" cm="1">
        <f t="array" ref="H690">D690*_xlfn.XLOOKUP(C690,Clean_Inventry_Master!A:A,Clean_Inventry_Master!E:E,NOT FOUND,0)</f>
        <v>979.93000000000006</v>
      </c>
      <c r="I690" s="2">
        <f t="shared" si="31"/>
        <v>46113</v>
      </c>
      <c r="J690" t="str">
        <f t="shared" si="32"/>
        <v>Apr 2026</v>
      </c>
    </row>
    <row r="691" spans="1:10" x14ac:dyDescent="0.3">
      <c r="A691" t="s">
        <v>1119</v>
      </c>
      <c r="B691" t="s">
        <v>1027</v>
      </c>
      <c r="C691" t="s">
        <v>18</v>
      </c>
      <c r="D691" s="5">
        <v>12</v>
      </c>
      <c r="E691" t="s">
        <v>82</v>
      </c>
      <c r="F691" t="s">
        <v>83</v>
      </c>
      <c r="G691" s="2">
        <f t="shared" si="30"/>
        <v>46105</v>
      </c>
      <c r="H691" cm="1">
        <f t="array" ref="H691">D691*_xlfn.XLOOKUP(C691,Clean_Inventry_Master!A:A,Clean_Inventry_Master!E:E,NOT FOUND,0)</f>
        <v>839.87999999999988</v>
      </c>
      <c r="I691" s="2">
        <f t="shared" si="31"/>
        <v>46082</v>
      </c>
      <c r="J691" t="str">
        <f t="shared" si="32"/>
        <v>Mar 2026</v>
      </c>
    </row>
    <row r="692" spans="1:10" x14ac:dyDescent="0.3">
      <c r="A692" t="s">
        <v>1120</v>
      </c>
      <c r="B692" t="s">
        <v>1121</v>
      </c>
      <c r="C692" t="s">
        <v>60</v>
      </c>
      <c r="D692" s="5">
        <v>10</v>
      </c>
      <c r="E692" t="s">
        <v>91</v>
      </c>
      <c r="F692" t="s">
        <v>83</v>
      </c>
      <c r="G692" s="2">
        <f t="shared" si="30"/>
        <v>46165</v>
      </c>
      <c r="H692" cm="1">
        <f t="array" ref="H692">D692*_xlfn.XLOOKUP(C692,Clean_Inventry_Master!A:A,Clean_Inventry_Master!E:E,NOT FOUND,0)</f>
        <v>899.9</v>
      </c>
      <c r="I692" s="2">
        <f t="shared" si="31"/>
        <v>46143</v>
      </c>
      <c r="J692" t="str">
        <f t="shared" si="32"/>
        <v>May 2026</v>
      </c>
    </row>
    <row r="693" spans="1:10" x14ac:dyDescent="0.3">
      <c r="A693" t="s">
        <v>1122</v>
      </c>
      <c r="B693" t="s">
        <v>436</v>
      </c>
      <c r="C693" t="s">
        <v>43</v>
      </c>
      <c r="D693" s="5">
        <v>7</v>
      </c>
      <c r="E693" t="s">
        <v>91</v>
      </c>
      <c r="F693" t="s">
        <v>78</v>
      </c>
      <c r="G693" s="2">
        <f t="shared" si="30"/>
        <v>46263</v>
      </c>
      <c r="H693" cm="1">
        <f t="array" ref="H693">D693*_xlfn.XLOOKUP(C693,Clean_Inventry_Master!A:A,Clean_Inventry_Master!E:E,NOT FOUND,0)</f>
        <v>59.5</v>
      </c>
      <c r="I693" s="2">
        <f t="shared" si="31"/>
        <v>46235</v>
      </c>
      <c r="J693" t="str">
        <f t="shared" si="32"/>
        <v>Aug 2026</v>
      </c>
    </row>
    <row r="694" spans="1:10" x14ac:dyDescent="0.3">
      <c r="A694" t="s">
        <v>1123</v>
      </c>
      <c r="B694" t="s">
        <v>192</v>
      </c>
      <c r="C694" t="s">
        <v>49</v>
      </c>
      <c r="D694" s="5">
        <v>1</v>
      </c>
      <c r="E694" t="s">
        <v>1308</v>
      </c>
      <c r="F694" t="s">
        <v>78</v>
      </c>
      <c r="G694" s="2">
        <f t="shared" si="30"/>
        <v>46224</v>
      </c>
      <c r="H694" cm="1">
        <f t="array" ref="H694">D694*_xlfn.XLOOKUP(C694,Clean_Inventry_Master!A:A,Clean_Inventry_Master!E:E,NOT FOUND,0)</f>
        <v>49.99</v>
      </c>
      <c r="I694" s="2">
        <f t="shared" si="31"/>
        <v>46204</v>
      </c>
      <c r="J694" t="str">
        <f t="shared" si="32"/>
        <v>Jul 2026</v>
      </c>
    </row>
    <row r="695" spans="1:10" x14ac:dyDescent="0.3">
      <c r="A695" t="s">
        <v>1124</v>
      </c>
      <c r="B695" t="s">
        <v>272</v>
      </c>
      <c r="C695" t="s">
        <v>18</v>
      </c>
      <c r="D695" s="5">
        <v>11</v>
      </c>
      <c r="E695" t="s">
        <v>77</v>
      </c>
      <c r="F695" t="s">
        <v>83</v>
      </c>
      <c r="G695" s="2">
        <f t="shared" si="30"/>
        <v>46288</v>
      </c>
      <c r="H695" cm="1">
        <f t="array" ref="H695">D695*_xlfn.XLOOKUP(C695,Clean_Inventry_Master!A:A,Clean_Inventry_Master!E:E,NOT FOUND,0)</f>
        <v>769.89</v>
      </c>
      <c r="I695" s="2">
        <f t="shared" si="31"/>
        <v>46266</v>
      </c>
      <c r="J695" t="str">
        <f t="shared" si="32"/>
        <v>Sep 2026</v>
      </c>
    </row>
    <row r="696" spans="1:10" x14ac:dyDescent="0.3">
      <c r="A696" t="s">
        <v>1125</v>
      </c>
      <c r="B696" t="s">
        <v>167</v>
      </c>
      <c r="C696" t="s">
        <v>16</v>
      </c>
      <c r="D696" s="5">
        <v>2</v>
      </c>
      <c r="E696" t="s">
        <v>82</v>
      </c>
      <c r="F696" t="s">
        <v>92</v>
      </c>
      <c r="G696" s="2">
        <f t="shared" si="30"/>
        <v>46272</v>
      </c>
      <c r="H696" cm="1">
        <f t="array" ref="H696">D696*_xlfn.XLOOKUP(C696,Clean_Inventry_Master!A:A,Clean_Inventry_Master!E:E,NOT FOUND,0)</f>
        <v>458</v>
      </c>
      <c r="I696" s="2">
        <f t="shared" si="31"/>
        <v>46266</v>
      </c>
      <c r="J696" t="str">
        <f t="shared" si="32"/>
        <v>Sep 2026</v>
      </c>
    </row>
    <row r="697" spans="1:10" x14ac:dyDescent="0.3">
      <c r="A697" t="s">
        <v>1126</v>
      </c>
      <c r="B697" t="s">
        <v>658</v>
      </c>
      <c r="C697" t="s">
        <v>45</v>
      </c>
      <c r="D697" s="5">
        <v>6</v>
      </c>
      <c r="E697" t="s">
        <v>77</v>
      </c>
      <c r="F697" t="s">
        <v>92</v>
      </c>
      <c r="G697" s="2">
        <f t="shared" si="30"/>
        <v>46147</v>
      </c>
      <c r="H697" cm="1">
        <f t="array" ref="H697">D697*_xlfn.XLOOKUP(C697,Clean_Inventry_Master!A:A,Clean_Inventry_Master!E:E,NOT FOUND,0)</f>
        <v>113.94</v>
      </c>
      <c r="I697" s="2">
        <f t="shared" si="31"/>
        <v>46143</v>
      </c>
      <c r="J697" t="str">
        <f t="shared" si="32"/>
        <v>May 2026</v>
      </c>
    </row>
    <row r="698" spans="1:10" x14ac:dyDescent="0.3">
      <c r="A698" t="s">
        <v>1127</v>
      </c>
      <c r="B698" t="s">
        <v>1128</v>
      </c>
      <c r="C698" t="s">
        <v>41</v>
      </c>
      <c r="D698" s="5">
        <v>6</v>
      </c>
      <c r="E698" t="s">
        <v>1308</v>
      </c>
      <c r="F698" t="s">
        <v>92</v>
      </c>
      <c r="G698" s="2">
        <f t="shared" si="30"/>
        <v>46128</v>
      </c>
      <c r="H698" cm="1">
        <f t="array" ref="H698">D698*_xlfn.XLOOKUP(C698,Clean_Inventry_Master!A:A,Clean_Inventry_Master!E:E,NOT FOUND,0)</f>
        <v>239.94</v>
      </c>
      <c r="I698" s="2">
        <f t="shared" si="31"/>
        <v>46113</v>
      </c>
      <c r="J698" t="str">
        <f t="shared" si="32"/>
        <v>Apr 2026</v>
      </c>
    </row>
    <row r="699" spans="1:10" x14ac:dyDescent="0.3">
      <c r="A699" t="s">
        <v>1129</v>
      </c>
      <c r="B699" t="s">
        <v>179</v>
      </c>
      <c r="C699" t="s">
        <v>22</v>
      </c>
      <c r="D699" s="5">
        <v>11</v>
      </c>
      <c r="E699" t="s">
        <v>91</v>
      </c>
      <c r="F699" t="s">
        <v>92</v>
      </c>
      <c r="G699" s="2">
        <f t="shared" si="30"/>
        <v>46120</v>
      </c>
      <c r="H699" cm="1">
        <f t="array" ref="H699">D699*_xlfn.XLOOKUP(C699,Clean_Inventry_Master!A:A,Clean_Inventry_Master!E:E,NOT FOUND,0)</f>
        <v>1319.8899999999999</v>
      </c>
      <c r="I699" s="2">
        <f t="shared" si="31"/>
        <v>46113</v>
      </c>
      <c r="J699" t="str">
        <f t="shared" si="32"/>
        <v>Apr 2026</v>
      </c>
    </row>
    <row r="700" spans="1:10" x14ac:dyDescent="0.3">
      <c r="A700" t="s">
        <v>1130</v>
      </c>
      <c r="B700" t="s">
        <v>102</v>
      </c>
      <c r="C700" t="s">
        <v>12</v>
      </c>
      <c r="D700" s="5">
        <v>3</v>
      </c>
      <c r="E700" t="s">
        <v>1308</v>
      </c>
      <c r="F700" t="s">
        <v>78</v>
      </c>
      <c r="G700" s="2">
        <f t="shared" si="30"/>
        <v>46252</v>
      </c>
      <c r="H700" cm="1">
        <f t="array" ref="H700">D700*_xlfn.XLOOKUP(C700,Clean_Inventry_Master!A:A,Clean_Inventry_Master!E:E,NOT FOUND,0)</f>
        <v>285</v>
      </c>
      <c r="I700" s="2">
        <f t="shared" si="31"/>
        <v>46235</v>
      </c>
      <c r="J700" t="str">
        <f t="shared" si="32"/>
        <v>Aug 2026</v>
      </c>
    </row>
    <row r="701" spans="1:10" x14ac:dyDescent="0.3">
      <c r="A701" t="s">
        <v>1131</v>
      </c>
      <c r="B701" t="s">
        <v>800</v>
      </c>
      <c r="C701" t="s">
        <v>16</v>
      </c>
      <c r="D701" s="5">
        <v>14</v>
      </c>
      <c r="E701" t="s">
        <v>91</v>
      </c>
      <c r="F701" t="s">
        <v>78</v>
      </c>
      <c r="G701" s="2">
        <f t="shared" si="30"/>
        <v>46218</v>
      </c>
      <c r="H701" cm="1">
        <f t="array" ref="H701">D701*_xlfn.XLOOKUP(C701,Clean_Inventry_Master!A:A,Clean_Inventry_Master!E:E,NOT FOUND,0)</f>
        <v>3206</v>
      </c>
      <c r="I701" s="2">
        <f t="shared" si="31"/>
        <v>46204</v>
      </c>
      <c r="J701" t="str">
        <f t="shared" si="32"/>
        <v>Jul 2026</v>
      </c>
    </row>
    <row r="702" spans="1:10" x14ac:dyDescent="0.3">
      <c r="A702" t="s">
        <v>1132</v>
      </c>
      <c r="B702" t="s">
        <v>272</v>
      </c>
      <c r="C702" t="s">
        <v>20</v>
      </c>
      <c r="D702" s="5">
        <v>9</v>
      </c>
      <c r="E702" t="s">
        <v>91</v>
      </c>
      <c r="F702" t="s">
        <v>92</v>
      </c>
      <c r="G702" s="2">
        <f t="shared" si="30"/>
        <v>46288</v>
      </c>
      <c r="H702" cm="1">
        <f t="array" ref="H702">D702*_xlfn.XLOOKUP(C702,Clean_Inventry_Master!A:A,Clean_Inventry_Master!E:E,NOT FOUND,0)</f>
        <v>719.91</v>
      </c>
      <c r="I702" s="2">
        <f t="shared" si="31"/>
        <v>46266</v>
      </c>
      <c r="J702" t="str">
        <f t="shared" si="32"/>
        <v>Sep 2026</v>
      </c>
    </row>
    <row r="703" spans="1:10" x14ac:dyDescent="0.3">
      <c r="A703" t="s">
        <v>1133</v>
      </c>
      <c r="B703" t="s">
        <v>155</v>
      </c>
      <c r="C703" t="s">
        <v>16</v>
      </c>
      <c r="D703" s="5">
        <v>3</v>
      </c>
      <c r="E703" t="s">
        <v>1308</v>
      </c>
      <c r="F703" t="s">
        <v>92</v>
      </c>
      <c r="G703" s="2">
        <f t="shared" si="30"/>
        <v>46039</v>
      </c>
      <c r="H703" cm="1">
        <f t="array" ref="H703">D703*_xlfn.XLOOKUP(C703,Clean_Inventry_Master!A:A,Clean_Inventry_Master!E:E,NOT FOUND,0)</f>
        <v>687</v>
      </c>
      <c r="I703" s="2">
        <f t="shared" si="31"/>
        <v>46023</v>
      </c>
      <c r="J703" t="str">
        <f t="shared" si="32"/>
        <v>Jan 2026</v>
      </c>
    </row>
    <row r="704" spans="1:10" x14ac:dyDescent="0.3">
      <c r="A704" t="s">
        <v>1134</v>
      </c>
      <c r="B704" t="s">
        <v>151</v>
      </c>
      <c r="C704" t="s">
        <v>31</v>
      </c>
      <c r="D704" s="5">
        <v>2</v>
      </c>
      <c r="E704" t="s">
        <v>82</v>
      </c>
      <c r="F704" t="s">
        <v>78</v>
      </c>
      <c r="G704" s="2">
        <f t="shared" si="30"/>
        <v>46091</v>
      </c>
      <c r="H704" cm="1">
        <f t="array" ref="H704">D704*_xlfn.XLOOKUP(C704,Clean_Inventry_Master!A:A,Clean_Inventry_Master!E:E,NOT FOUND,0)</f>
        <v>30</v>
      </c>
      <c r="I704" s="2">
        <f t="shared" si="31"/>
        <v>46082</v>
      </c>
      <c r="J704" t="str">
        <f t="shared" si="32"/>
        <v>Mar 2026</v>
      </c>
    </row>
    <row r="705" spans="1:10" x14ac:dyDescent="0.3">
      <c r="A705" t="s">
        <v>1135</v>
      </c>
      <c r="B705" t="s">
        <v>735</v>
      </c>
      <c r="C705" t="s">
        <v>68</v>
      </c>
      <c r="D705" s="5">
        <v>5</v>
      </c>
      <c r="E705" t="s">
        <v>82</v>
      </c>
      <c r="F705" t="s">
        <v>83</v>
      </c>
      <c r="G705" s="2">
        <f t="shared" si="30"/>
        <v>46071</v>
      </c>
      <c r="H705" cm="1">
        <f t="array" ref="H705">D705*_xlfn.XLOOKUP(C705,Clean_Inventry_Master!A:A,Clean_Inventry_Master!E:E,NOT FOUND,0)</f>
        <v>212.5</v>
      </c>
      <c r="I705" s="2">
        <f t="shared" si="31"/>
        <v>46054</v>
      </c>
      <c r="J705" t="str">
        <f t="shared" si="32"/>
        <v>Feb 2026</v>
      </c>
    </row>
    <row r="706" spans="1:10" x14ac:dyDescent="0.3">
      <c r="A706" t="s">
        <v>1136</v>
      </c>
      <c r="B706" t="s">
        <v>410</v>
      </c>
      <c r="C706" t="s">
        <v>24</v>
      </c>
      <c r="D706" s="5">
        <v>8</v>
      </c>
      <c r="E706" t="s">
        <v>77</v>
      </c>
      <c r="F706" t="s">
        <v>92</v>
      </c>
      <c r="G706" s="2">
        <f t="shared" ref="G706:G769" si="33">IF(ISNUMBER(SEARCH("-", B706)), DATEVALUE(B706), DATE(RIGHT(B706,4), LEFT(B706, FIND("/", B706)-1), MID(B706, FIND("/", B706)+1, FIND("/", B706, FIND("/", B706)+1) - FIND("/", B706) - 1)))</f>
        <v>46109</v>
      </c>
      <c r="H706" cm="1">
        <f t="array" ref="H706">D706*_xlfn.XLOOKUP(C706,Clean_Inventry_Master!A:A,Clean_Inventry_Master!E:E,NOT FOUND,0)</f>
        <v>1119.92</v>
      </c>
      <c r="I706" s="2">
        <f t="shared" ref="I706:I769" si="34">DATE(YEAR(G706),MONTH(G706),1)</f>
        <v>46082</v>
      </c>
      <c r="J706" t="str">
        <f t="shared" ref="J706:J769" si="35">TEXT(I706,"mmm yyyy")</f>
        <v>Mar 2026</v>
      </c>
    </row>
    <row r="707" spans="1:10" x14ac:dyDescent="0.3">
      <c r="A707" t="s">
        <v>1137</v>
      </c>
      <c r="B707" t="s">
        <v>1138</v>
      </c>
      <c r="C707" t="s">
        <v>56</v>
      </c>
      <c r="D707" s="5">
        <v>7</v>
      </c>
      <c r="E707" t="s">
        <v>1308</v>
      </c>
      <c r="F707" t="s">
        <v>92</v>
      </c>
      <c r="G707" s="2">
        <f t="shared" si="33"/>
        <v>46174</v>
      </c>
      <c r="H707" cm="1">
        <f t="array" ref="H707">D707*_xlfn.XLOOKUP(C707,Clean_Inventry_Master!A:A,Clean_Inventry_Master!E:E,NOT FOUND,0)</f>
        <v>209.92999999999998</v>
      </c>
      <c r="I707" s="2">
        <f t="shared" si="34"/>
        <v>46174</v>
      </c>
      <c r="J707" t="str">
        <f t="shared" si="35"/>
        <v>Jun 2026</v>
      </c>
    </row>
    <row r="708" spans="1:10" x14ac:dyDescent="0.3">
      <c r="A708" t="s">
        <v>1139</v>
      </c>
      <c r="B708" t="s">
        <v>1140</v>
      </c>
      <c r="C708" t="s">
        <v>18</v>
      </c>
      <c r="D708" s="5">
        <v>3</v>
      </c>
      <c r="E708" t="s">
        <v>77</v>
      </c>
      <c r="F708" t="s">
        <v>83</v>
      </c>
      <c r="G708" s="2">
        <f t="shared" si="33"/>
        <v>46152</v>
      </c>
      <c r="H708" cm="1">
        <f t="array" ref="H708">D708*_xlfn.XLOOKUP(C708,Clean_Inventry_Master!A:A,Clean_Inventry_Master!E:E,NOT FOUND,0)</f>
        <v>209.96999999999997</v>
      </c>
      <c r="I708" s="2">
        <f t="shared" si="34"/>
        <v>46143</v>
      </c>
      <c r="J708" t="str">
        <f t="shared" si="35"/>
        <v>May 2026</v>
      </c>
    </row>
    <row r="709" spans="1:10" x14ac:dyDescent="0.3">
      <c r="A709" t="s">
        <v>1141</v>
      </c>
      <c r="B709" t="s">
        <v>322</v>
      </c>
      <c r="C709" t="s">
        <v>7</v>
      </c>
      <c r="D709" s="5">
        <v>14</v>
      </c>
      <c r="E709" t="s">
        <v>91</v>
      </c>
      <c r="F709" t="s">
        <v>83</v>
      </c>
      <c r="G709" s="2">
        <f t="shared" si="33"/>
        <v>46228</v>
      </c>
      <c r="H709" cm="1">
        <f t="array" ref="H709">D709*_xlfn.XLOOKUP(C709,Clean_Inventry_Master!A:A,Clean_Inventry_Master!E:E,NOT FOUND,0)</f>
        <v>630</v>
      </c>
      <c r="I709" s="2">
        <f t="shared" si="34"/>
        <v>46204</v>
      </c>
      <c r="J709" t="str">
        <f t="shared" si="35"/>
        <v>Jul 2026</v>
      </c>
    </row>
    <row r="710" spans="1:10" x14ac:dyDescent="0.3">
      <c r="A710" t="s">
        <v>1142</v>
      </c>
      <c r="B710" t="s">
        <v>1143</v>
      </c>
      <c r="C710" t="s">
        <v>24</v>
      </c>
      <c r="D710" s="5">
        <v>9</v>
      </c>
      <c r="E710" t="s">
        <v>1308</v>
      </c>
      <c r="F710" t="s">
        <v>78</v>
      </c>
      <c r="G710" s="2">
        <f t="shared" si="33"/>
        <v>46157</v>
      </c>
      <c r="H710" cm="1">
        <f t="array" ref="H710">D710*_xlfn.XLOOKUP(C710,Clean_Inventry_Master!A:A,Clean_Inventry_Master!E:E,NOT FOUND,0)</f>
        <v>1259.9100000000001</v>
      </c>
      <c r="I710" s="2">
        <f t="shared" si="34"/>
        <v>46143</v>
      </c>
      <c r="J710" t="str">
        <f t="shared" si="35"/>
        <v>May 2026</v>
      </c>
    </row>
    <row r="711" spans="1:10" x14ac:dyDescent="0.3">
      <c r="A711" t="s">
        <v>1144</v>
      </c>
      <c r="B711" t="s">
        <v>111</v>
      </c>
      <c r="C711" t="s">
        <v>31</v>
      </c>
      <c r="D711" s="5">
        <v>7</v>
      </c>
      <c r="E711" t="s">
        <v>82</v>
      </c>
      <c r="F711" t="s">
        <v>83</v>
      </c>
      <c r="G711" s="2">
        <f t="shared" si="33"/>
        <v>46207</v>
      </c>
      <c r="H711" cm="1">
        <f t="array" ref="H711">D711*_xlfn.XLOOKUP(C711,Clean_Inventry_Master!A:A,Clean_Inventry_Master!E:E,NOT FOUND,0)</f>
        <v>105</v>
      </c>
      <c r="I711" s="2">
        <f t="shared" si="34"/>
        <v>46204</v>
      </c>
      <c r="J711" t="str">
        <f t="shared" si="35"/>
        <v>Jul 2026</v>
      </c>
    </row>
    <row r="712" spans="1:10" x14ac:dyDescent="0.3">
      <c r="A712" t="s">
        <v>1145</v>
      </c>
      <c r="B712" t="s">
        <v>175</v>
      </c>
      <c r="C712" t="s">
        <v>58</v>
      </c>
      <c r="D712" s="5">
        <v>13</v>
      </c>
      <c r="E712" t="s">
        <v>91</v>
      </c>
      <c r="F712" t="s">
        <v>83</v>
      </c>
      <c r="G712" s="2">
        <f t="shared" si="33"/>
        <v>46175</v>
      </c>
      <c r="H712" cm="1">
        <f t="array" ref="H712">D712*_xlfn.XLOOKUP(C712,Clean_Inventry_Master!A:A,Clean_Inventry_Master!E:E,NOT FOUND,0)</f>
        <v>779.87</v>
      </c>
      <c r="I712" s="2">
        <f t="shared" si="34"/>
        <v>46174</v>
      </c>
      <c r="J712" t="str">
        <f t="shared" si="35"/>
        <v>Jun 2026</v>
      </c>
    </row>
    <row r="713" spans="1:10" x14ac:dyDescent="0.3">
      <c r="A713" t="s">
        <v>1146</v>
      </c>
      <c r="B713" t="s">
        <v>574</v>
      </c>
      <c r="C713" t="s">
        <v>54</v>
      </c>
      <c r="D713" s="5">
        <v>14</v>
      </c>
      <c r="E713" t="s">
        <v>82</v>
      </c>
      <c r="F713" t="s">
        <v>92</v>
      </c>
      <c r="G713" s="2">
        <f t="shared" si="33"/>
        <v>46190</v>
      </c>
      <c r="H713" cm="1">
        <f t="array" ref="H713">D713*_xlfn.XLOOKUP(C713,Clean_Inventry_Master!A:A,Clean_Inventry_Master!E:E,NOT FOUND,0)</f>
        <v>4899.8600000000006</v>
      </c>
      <c r="I713" s="2">
        <f t="shared" si="34"/>
        <v>46174</v>
      </c>
      <c r="J713" t="str">
        <f t="shared" si="35"/>
        <v>Jun 2026</v>
      </c>
    </row>
    <row r="714" spans="1:10" x14ac:dyDescent="0.3">
      <c r="A714" t="s">
        <v>1147</v>
      </c>
      <c r="B714" t="s">
        <v>695</v>
      </c>
      <c r="C714" t="s">
        <v>37</v>
      </c>
      <c r="D714" s="5">
        <v>10</v>
      </c>
      <c r="E714" t="s">
        <v>77</v>
      </c>
      <c r="F714" t="s">
        <v>78</v>
      </c>
      <c r="G714" s="2">
        <f t="shared" si="33"/>
        <v>46050</v>
      </c>
      <c r="H714" cm="1">
        <f t="array" ref="H714">D714*_xlfn.XLOOKUP(C714,Clean_Inventry_Master!A:A,Clean_Inventry_Master!E:E,NOT FOUND,0)</f>
        <v>450</v>
      </c>
      <c r="I714" s="2">
        <f t="shared" si="34"/>
        <v>46023</v>
      </c>
      <c r="J714" t="str">
        <f t="shared" si="35"/>
        <v>Jan 2026</v>
      </c>
    </row>
    <row r="715" spans="1:10" x14ac:dyDescent="0.3">
      <c r="A715" t="s">
        <v>1148</v>
      </c>
      <c r="B715" t="s">
        <v>1021</v>
      </c>
      <c r="C715" t="s">
        <v>66</v>
      </c>
      <c r="D715" s="5">
        <v>13</v>
      </c>
      <c r="E715" t="s">
        <v>91</v>
      </c>
      <c r="F715" t="s">
        <v>92</v>
      </c>
      <c r="G715" s="2">
        <f t="shared" si="33"/>
        <v>46232</v>
      </c>
      <c r="H715" cm="1">
        <f t="array" ref="H715">D715*_xlfn.XLOOKUP(C715,Clean_Inventry_Master!A:A,Clean_Inventry_Master!E:E,NOT FOUND,0)</f>
        <v>454.87</v>
      </c>
      <c r="I715" s="2">
        <f t="shared" si="34"/>
        <v>46204</v>
      </c>
      <c r="J715" t="str">
        <f t="shared" si="35"/>
        <v>Jul 2026</v>
      </c>
    </row>
    <row r="716" spans="1:10" x14ac:dyDescent="0.3">
      <c r="A716" t="s">
        <v>1149</v>
      </c>
      <c r="B716" t="s">
        <v>388</v>
      </c>
      <c r="C716" t="s">
        <v>24</v>
      </c>
      <c r="D716" s="5">
        <v>8</v>
      </c>
      <c r="E716" t="s">
        <v>1308</v>
      </c>
      <c r="F716" t="s">
        <v>78</v>
      </c>
      <c r="G716" s="2">
        <f t="shared" si="33"/>
        <v>46268</v>
      </c>
      <c r="H716" cm="1">
        <f t="array" ref="H716">D716*_xlfn.XLOOKUP(C716,Clean_Inventry_Master!A:A,Clean_Inventry_Master!E:E,NOT FOUND,0)</f>
        <v>1119.92</v>
      </c>
      <c r="I716" s="2">
        <f t="shared" si="34"/>
        <v>46266</v>
      </c>
      <c r="J716" t="str">
        <f t="shared" si="35"/>
        <v>Sep 2026</v>
      </c>
    </row>
    <row r="717" spans="1:10" x14ac:dyDescent="0.3">
      <c r="A717" t="s">
        <v>1150</v>
      </c>
      <c r="B717" t="s">
        <v>849</v>
      </c>
      <c r="C717" t="s">
        <v>16</v>
      </c>
      <c r="D717" s="5">
        <v>3</v>
      </c>
      <c r="E717" t="s">
        <v>77</v>
      </c>
      <c r="F717" t="s">
        <v>92</v>
      </c>
      <c r="G717" s="2">
        <f t="shared" si="33"/>
        <v>46185</v>
      </c>
      <c r="H717" cm="1">
        <f t="array" ref="H717">D717*_xlfn.XLOOKUP(C717,Clean_Inventry_Master!A:A,Clean_Inventry_Master!E:E,NOT FOUND,0)</f>
        <v>687</v>
      </c>
      <c r="I717" s="2">
        <f t="shared" si="34"/>
        <v>46174</v>
      </c>
      <c r="J717" t="str">
        <f t="shared" si="35"/>
        <v>Jun 2026</v>
      </c>
    </row>
    <row r="718" spans="1:10" x14ac:dyDescent="0.3">
      <c r="A718" t="s">
        <v>1151</v>
      </c>
      <c r="B718" t="s">
        <v>130</v>
      </c>
      <c r="C718" t="s">
        <v>28</v>
      </c>
      <c r="D718" s="5">
        <v>1</v>
      </c>
      <c r="E718" t="s">
        <v>82</v>
      </c>
      <c r="F718" t="s">
        <v>78</v>
      </c>
      <c r="G718" s="2">
        <f t="shared" si="33"/>
        <v>46199</v>
      </c>
      <c r="H718" cm="1">
        <f t="array" ref="H718">D718*_xlfn.XLOOKUP(C718,Clean_Inventry_Master!A:A,Clean_Inventry_Master!E:E,NOT FOUND,0)</f>
        <v>180</v>
      </c>
      <c r="I718" s="2">
        <f t="shared" si="34"/>
        <v>46174</v>
      </c>
      <c r="J718" t="str">
        <f t="shared" si="35"/>
        <v>Jun 2026</v>
      </c>
    </row>
    <row r="719" spans="1:10" x14ac:dyDescent="0.3">
      <c r="A719" t="s">
        <v>1152</v>
      </c>
      <c r="B719" t="s">
        <v>885</v>
      </c>
      <c r="C719" t="s">
        <v>33</v>
      </c>
      <c r="D719" s="5">
        <v>13</v>
      </c>
      <c r="E719" t="s">
        <v>77</v>
      </c>
      <c r="F719" t="s">
        <v>83</v>
      </c>
      <c r="G719" s="2">
        <f t="shared" si="33"/>
        <v>46029</v>
      </c>
      <c r="H719" cm="1">
        <f t="array" ref="H719">D719*_xlfn.XLOOKUP(C719,Clean_Inventry_Master!A:A,Clean_Inventry_Master!E:E,NOT FOUND,0)</f>
        <v>312</v>
      </c>
      <c r="I719" s="2">
        <f t="shared" si="34"/>
        <v>46023</v>
      </c>
      <c r="J719" t="str">
        <f t="shared" si="35"/>
        <v>Jan 2026</v>
      </c>
    </row>
    <row r="720" spans="1:10" x14ac:dyDescent="0.3">
      <c r="A720" t="s">
        <v>1153</v>
      </c>
      <c r="B720" t="s">
        <v>538</v>
      </c>
      <c r="C720" t="s">
        <v>62</v>
      </c>
      <c r="D720" s="5">
        <v>8</v>
      </c>
      <c r="E720" t="s">
        <v>1308</v>
      </c>
      <c r="F720" t="s">
        <v>78</v>
      </c>
      <c r="G720" s="2">
        <f t="shared" si="33"/>
        <v>46173</v>
      </c>
      <c r="H720" cm="1">
        <f t="array" ref="H720">D720*_xlfn.XLOOKUP(C720,Clean_Inventry_Master!A:A,Clean_Inventry_Master!E:E,NOT FOUND,0)</f>
        <v>220</v>
      </c>
      <c r="I720" s="2">
        <f t="shared" si="34"/>
        <v>46143</v>
      </c>
      <c r="J720" t="str">
        <f t="shared" si="35"/>
        <v>May 2026</v>
      </c>
    </row>
    <row r="721" spans="1:10" x14ac:dyDescent="0.3">
      <c r="A721" t="s">
        <v>1154</v>
      </c>
      <c r="B721" t="s">
        <v>663</v>
      </c>
      <c r="C721" t="s">
        <v>64</v>
      </c>
      <c r="D721" s="5">
        <v>4</v>
      </c>
      <c r="E721" t="s">
        <v>1308</v>
      </c>
      <c r="F721" t="s">
        <v>83</v>
      </c>
      <c r="G721" s="2">
        <f t="shared" si="33"/>
        <v>46090</v>
      </c>
      <c r="H721" cm="1">
        <f t="array" ref="H721">D721*_xlfn.XLOOKUP(C721,Clean_Inventry_Master!A:A,Clean_Inventry_Master!E:E,NOT FOUND,0)</f>
        <v>79.959999999999994</v>
      </c>
      <c r="I721" s="2">
        <f t="shared" si="34"/>
        <v>46082</v>
      </c>
      <c r="J721" t="str">
        <f t="shared" si="35"/>
        <v>Mar 2026</v>
      </c>
    </row>
    <row r="722" spans="1:10" x14ac:dyDescent="0.3">
      <c r="A722" t="s">
        <v>1155</v>
      </c>
      <c r="B722" t="s">
        <v>1035</v>
      </c>
      <c r="C722" t="s">
        <v>14</v>
      </c>
      <c r="D722" s="5">
        <v>12</v>
      </c>
      <c r="E722" t="s">
        <v>77</v>
      </c>
      <c r="F722" t="s">
        <v>83</v>
      </c>
      <c r="G722" s="2">
        <f t="shared" si="33"/>
        <v>46285</v>
      </c>
      <c r="H722" cm="1">
        <f t="array" ref="H722">D722*_xlfn.XLOOKUP(C722,Clean_Inventry_Master!A:A,Clean_Inventry_Master!E:E,NOT FOUND,0)</f>
        <v>420</v>
      </c>
      <c r="I722" s="2">
        <f t="shared" si="34"/>
        <v>46266</v>
      </c>
      <c r="J722" t="str">
        <f t="shared" si="35"/>
        <v>Sep 2026</v>
      </c>
    </row>
    <row r="723" spans="1:10" x14ac:dyDescent="0.3">
      <c r="A723" t="s">
        <v>1156</v>
      </c>
      <c r="B723" t="s">
        <v>1157</v>
      </c>
      <c r="C723" t="s">
        <v>64</v>
      </c>
      <c r="D723" s="5">
        <v>5</v>
      </c>
      <c r="E723" t="s">
        <v>91</v>
      </c>
      <c r="F723" t="s">
        <v>78</v>
      </c>
      <c r="G723" s="2">
        <f t="shared" si="33"/>
        <v>46023</v>
      </c>
      <c r="H723" cm="1">
        <f t="array" ref="H723">D723*_xlfn.XLOOKUP(C723,Clean_Inventry_Master!A:A,Clean_Inventry_Master!E:E,NOT FOUND,0)</f>
        <v>99.949999999999989</v>
      </c>
      <c r="I723" s="2">
        <f t="shared" si="34"/>
        <v>46023</v>
      </c>
      <c r="J723" t="str">
        <f t="shared" si="35"/>
        <v>Jan 2026</v>
      </c>
    </row>
    <row r="724" spans="1:10" x14ac:dyDescent="0.3">
      <c r="A724" t="s">
        <v>1158</v>
      </c>
      <c r="B724" t="s">
        <v>386</v>
      </c>
      <c r="C724" t="s">
        <v>39</v>
      </c>
      <c r="D724" s="5">
        <v>11</v>
      </c>
      <c r="E724" t="s">
        <v>91</v>
      </c>
      <c r="F724" t="s">
        <v>92</v>
      </c>
      <c r="G724" s="2">
        <f t="shared" si="33"/>
        <v>46149</v>
      </c>
      <c r="H724" cm="1">
        <f t="array" ref="H724">D724*_xlfn.XLOOKUP(C724,Clean_Inventry_Master!A:A,Clean_Inventry_Master!E:E,NOT FOUND,0)</f>
        <v>241.89</v>
      </c>
      <c r="I724" s="2">
        <f t="shared" si="34"/>
        <v>46143</v>
      </c>
      <c r="J724" t="str">
        <f t="shared" si="35"/>
        <v>May 2026</v>
      </c>
    </row>
    <row r="725" spans="1:10" x14ac:dyDescent="0.3">
      <c r="A725" t="s">
        <v>1159</v>
      </c>
      <c r="B725" t="s">
        <v>715</v>
      </c>
      <c r="C725" t="s">
        <v>28</v>
      </c>
      <c r="D725" s="5">
        <v>9</v>
      </c>
      <c r="E725" t="s">
        <v>1308</v>
      </c>
      <c r="F725" t="s">
        <v>83</v>
      </c>
      <c r="G725" s="2">
        <f t="shared" si="33"/>
        <v>46028</v>
      </c>
      <c r="H725" cm="1">
        <f t="array" ref="H725">D725*_xlfn.XLOOKUP(C725,Clean_Inventry_Master!A:A,Clean_Inventry_Master!E:E,NOT FOUND,0)</f>
        <v>1620</v>
      </c>
      <c r="I725" s="2">
        <f t="shared" si="34"/>
        <v>46023</v>
      </c>
      <c r="J725" t="str">
        <f t="shared" si="35"/>
        <v>Jan 2026</v>
      </c>
    </row>
    <row r="726" spans="1:10" x14ac:dyDescent="0.3">
      <c r="A726" t="s">
        <v>1160</v>
      </c>
      <c r="B726" t="s">
        <v>849</v>
      </c>
      <c r="C726" t="s">
        <v>16</v>
      </c>
      <c r="D726" s="5">
        <v>14</v>
      </c>
      <c r="E726" t="s">
        <v>77</v>
      </c>
      <c r="F726" t="s">
        <v>92</v>
      </c>
      <c r="G726" s="2">
        <f t="shared" si="33"/>
        <v>46185</v>
      </c>
      <c r="H726" cm="1">
        <f t="array" ref="H726">D726*_xlfn.XLOOKUP(C726,Clean_Inventry_Master!A:A,Clean_Inventry_Master!E:E,NOT FOUND,0)</f>
        <v>3206</v>
      </c>
      <c r="I726" s="2">
        <f t="shared" si="34"/>
        <v>46174</v>
      </c>
      <c r="J726" t="str">
        <f t="shared" si="35"/>
        <v>Jun 2026</v>
      </c>
    </row>
    <row r="727" spans="1:10" x14ac:dyDescent="0.3">
      <c r="A727" t="s">
        <v>1161</v>
      </c>
      <c r="B727" t="s">
        <v>1162</v>
      </c>
      <c r="C727" t="s">
        <v>33</v>
      </c>
      <c r="D727" s="5">
        <v>7</v>
      </c>
      <c r="E727" t="s">
        <v>1308</v>
      </c>
      <c r="F727" t="s">
        <v>92</v>
      </c>
      <c r="G727" s="2">
        <f t="shared" si="33"/>
        <v>46048</v>
      </c>
      <c r="H727" cm="1">
        <f t="array" ref="H727">D727*_xlfn.XLOOKUP(C727,Clean_Inventry_Master!A:A,Clean_Inventry_Master!E:E,NOT FOUND,0)</f>
        <v>168</v>
      </c>
      <c r="I727" s="2">
        <f t="shared" si="34"/>
        <v>46023</v>
      </c>
      <c r="J727" t="str">
        <f t="shared" si="35"/>
        <v>Jan 2026</v>
      </c>
    </row>
    <row r="728" spans="1:10" x14ac:dyDescent="0.3">
      <c r="A728" t="s">
        <v>1163</v>
      </c>
      <c r="B728" t="s">
        <v>477</v>
      </c>
      <c r="C728" t="s">
        <v>66</v>
      </c>
      <c r="D728" s="5">
        <v>5</v>
      </c>
      <c r="E728" t="s">
        <v>91</v>
      </c>
      <c r="F728" t="s">
        <v>83</v>
      </c>
      <c r="G728" s="2">
        <f t="shared" si="33"/>
        <v>46112</v>
      </c>
      <c r="H728" cm="1">
        <f t="array" ref="H728">D728*_xlfn.XLOOKUP(C728,Clean_Inventry_Master!A:A,Clean_Inventry_Master!E:E,NOT FOUND,0)</f>
        <v>174.95000000000002</v>
      </c>
      <c r="I728" s="2">
        <f t="shared" si="34"/>
        <v>46082</v>
      </c>
      <c r="J728" t="str">
        <f t="shared" si="35"/>
        <v>Mar 2026</v>
      </c>
    </row>
    <row r="729" spans="1:10" x14ac:dyDescent="0.3">
      <c r="A729" t="s">
        <v>1164</v>
      </c>
      <c r="B729" t="s">
        <v>585</v>
      </c>
      <c r="C729" t="s">
        <v>31</v>
      </c>
      <c r="D729" s="5">
        <v>3</v>
      </c>
      <c r="E729" t="s">
        <v>91</v>
      </c>
      <c r="F729" t="s">
        <v>78</v>
      </c>
      <c r="G729" s="2">
        <f t="shared" si="33"/>
        <v>46132</v>
      </c>
      <c r="H729" cm="1">
        <f t="array" ref="H729">D729*_xlfn.XLOOKUP(C729,Clean_Inventry_Master!A:A,Clean_Inventry_Master!E:E,NOT FOUND,0)</f>
        <v>45</v>
      </c>
      <c r="I729" s="2">
        <f t="shared" si="34"/>
        <v>46113</v>
      </c>
      <c r="J729" t="str">
        <f t="shared" si="35"/>
        <v>Apr 2026</v>
      </c>
    </row>
    <row r="730" spans="1:10" x14ac:dyDescent="0.3">
      <c r="A730" t="s">
        <v>1165</v>
      </c>
      <c r="B730" t="s">
        <v>570</v>
      </c>
      <c r="C730" t="s">
        <v>28</v>
      </c>
      <c r="D730" s="5">
        <v>14</v>
      </c>
      <c r="E730" t="s">
        <v>91</v>
      </c>
      <c r="F730" t="s">
        <v>78</v>
      </c>
      <c r="G730" s="2">
        <f t="shared" si="33"/>
        <v>46106</v>
      </c>
      <c r="H730" cm="1">
        <f t="array" ref="H730">D730*_xlfn.XLOOKUP(C730,Clean_Inventry_Master!A:A,Clean_Inventry_Master!E:E,NOT FOUND,0)</f>
        <v>2520</v>
      </c>
      <c r="I730" s="2">
        <f t="shared" si="34"/>
        <v>46082</v>
      </c>
      <c r="J730" t="str">
        <f t="shared" si="35"/>
        <v>Mar 2026</v>
      </c>
    </row>
    <row r="731" spans="1:10" x14ac:dyDescent="0.3">
      <c r="A731" t="s">
        <v>1166</v>
      </c>
      <c r="B731" t="s">
        <v>1167</v>
      </c>
      <c r="C731" t="s">
        <v>41</v>
      </c>
      <c r="D731" s="5">
        <v>11</v>
      </c>
      <c r="E731" t="s">
        <v>91</v>
      </c>
      <c r="F731" t="s">
        <v>78</v>
      </c>
      <c r="G731" s="2">
        <f t="shared" si="33"/>
        <v>46206</v>
      </c>
      <c r="H731" cm="1">
        <f t="array" ref="H731">D731*_xlfn.XLOOKUP(C731,Clean_Inventry_Master!A:A,Clean_Inventry_Master!E:E,NOT FOUND,0)</f>
        <v>439.89000000000004</v>
      </c>
      <c r="I731" s="2">
        <f t="shared" si="34"/>
        <v>46204</v>
      </c>
      <c r="J731" t="str">
        <f t="shared" si="35"/>
        <v>Jul 2026</v>
      </c>
    </row>
    <row r="732" spans="1:10" x14ac:dyDescent="0.3">
      <c r="A732" t="s">
        <v>1168</v>
      </c>
      <c r="B732" t="s">
        <v>134</v>
      </c>
      <c r="C732" t="s">
        <v>10</v>
      </c>
      <c r="D732" s="5">
        <v>2</v>
      </c>
      <c r="E732" t="s">
        <v>77</v>
      </c>
      <c r="F732" t="s">
        <v>83</v>
      </c>
      <c r="G732" s="2">
        <f t="shared" si="33"/>
        <v>46271</v>
      </c>
      <c r="H732" cm="1">
        <f t="array" ref="H732">D732*_xlfn.XLOOKUP(C732,Clean_Inventry_Master!A:A,Clean_Inventry_Master!E:E,NOT FOUND,0)</f>
        <v>998</v>
      </c>
      <c r="I732" s="2">
        <f t="shared" si="34"/>
        <v>46266</v>
      </c>
      <c r="J732" t="str">
        <f t="shared" si="35"/>
        <v>Sep 2026</v>
      </c>
    </row>
    <row r="733" spans="1:10" x14ac:dyDescent="0.3">
      <c r="A733" t="s">
        <v>1169</v>
      </c>
      <c r="B733" t="s">
        <v>238</v>
      </c>
      <c r="C733" t="s">
        <v>18</v>
      </c>
      <c r="D733" s="5">
        <v>1</v>
      </c>
      <c r="E733" t="s">
        <v>91</v>
      </c>
      <c r="F733" t="s">
        <v>78</v>
      </c>
      <c r="G733" s="2">
        <f t="shared" si="33"/>
        <v>46088</v>
      </c>
      <c r="H733" cm="1">
        <f t="array" ref="H733">D733*_xlfn.XLOOKUP(C733,Clean_Inventry_Master!A:A,Clean_Inventry_Master!E:E,NOT FOUND,0)</f>
        <v>69.989999999999995</v>
      </c>
      <c r="I733" s="2">
        <f t="shared" si="34"/>
        <v>46082</v>
      </c>
      <c r="J733" t="str">
        <f t="shared" si="35"/>
        <v>Mar 2026</v>
      </c>
    </row>
    <row r="734" spans="1:10" x14ac:dyDescent="0.3">
      <c r="A734" t="s">
        <v>1171</v>
      </c>
      <c r="B734" t="s">
        <v>192</v>
      </c>
      <c r="C734" t="s">
        <v>52</v>
      </c>
      <c r="D734" s="5">
        <v>7</v>
      </c>
      <c r="E734" t="s">
        <v>91</v>
      </c>
      <c r="F734" t="s">
        <v>83</v>
      </c>
      <c r="G734" s="2">
        <f t="shared" si="33"/>
        <v>46224</v>
      </c>
      <c r="H734" cm="1">
        <f t="array" ref="H734">D734*_xlfn.XLOOKUP(C734,Clean_Inventry_Master!A:A,Clean_Inventry_Master!E:E,NOT FOUND,0)</f>
        <v>209.92999999999998</v>
      </c>
      <c r="I734" s="2">
        <f t="shared" si="34"/>
        <v>46204</v>
      </c>
      <c r="J734" t="str">
        <f t="shared" si="35"/>
        <v>Jul 2026</v>
      </c>
    </row>
    <row r="735" spans="1:10" x14ac:dyDescent="0.3">
      <c r="A735" t="s">
        <v>1172</v>
      </c>
      <c r="B735" t="s">
        <v>663</v>
      </c>
      <c r="C735" t="s">
        <v>66</v>
      </c>
      <c r="D735" s="5">
        <v>10</v>
      </c>
      <c r="E735" t="s">
        <v>82</v>
      </c>
      <c r="F735" t="s">
        <v>83</v>
      </c>
      <c r="G735" s="2">
        <f t="shared" si="33"/>
        <v>46090</v>
      </c>
      <c r="H735" cm="1">
        <f t="array" ref="H735">D735*_xlfn.XLOOKUP(C735,Clean_Inventry_Master!A:A,Clean_Inventry_Master!E:E,NOT FOUND,0)</f>
        <v>349.90000000000003</v>
      </c>
      <c r="I735" s="2">
        <f t="shared" si="34"/>
        <v>46082</v>
      </c>
      <c r="J735" t="str">
        <f t="shared" si="35"/>
        <v>Mar 2026</v>
      </c>
    </row>
    <row r="736" spans="1:10" x14ac:dyDescent="0.3">
      <c r="A736" t="s">
        <v>1173</v>
      </c>
      <c r="B736" t="s">
        <v>650</v>
      </c>
      <c r="C736" t="s">
        <v>14</v>
      </c>
      <c r="D736" s="5">
        <v>2</v>
      </c>
      <c r="E736" t="s">
        <v>82</v>
      </c>
      <c r="F736" t="s">
        <v>92</v>
      </c>
      <c r="G736" s="2">
        <f t="shared" si="33"/>
        <v>46099</v>
      </c>
      <c r="H736" cm="1">
        <f t="array" ref="H736">D736*_xlfn.XLOOKUP(C736,Clean_Inventry_Master!A:A,Clean_Inventry_Master!E:E,NOT FOUND,0)</f>
        <v>70</v>
      </c>
      <c r="I736" s="2">
        <f t="shared" si="34"/>
        <v>46082</v>
      </c>
      <c r="J736" t="str">
        <f t="shared" si="35"/>
        <v>Mar 2026</v>
      </c>
    </row>
    <row r="737" spans="1:10" x14ac:dyDescent="0.3">
      <c r="A737" t="s">
        <v>1174</v>
      </c>
      <c r="B737" t="s">
        <v>1175</v>
      </c>
      <c r="C737" t="s">
        <v>56</v>
      </c>
      <c r="D737" s="5">
        <v>4</v>
      </c>
      <c r="E737" t="s">
        <v>91</v>
      </c>
      <c r="F737" t="s">
        <v>92</v>
      </c>
      <c r="G737" s="2">
        <f t="shared" si="33"/>
        <v>46105</v>
      </c>
      <c r="H737" cm="1">
        <f t="array" ref="H737">D737*_xlfn.XLOOKUP(C737,Clean_Inventry_Master!A:A,Clean_Inventry_Master!E:E,NOT FOUND,0)</f>
        <v>119.96</v>
      </c>
      <c r="I737" s="2">
        <f t="shared" si="34"/>
        <v>46082</v>
      </c>
      <c r="J737" t="str">
        <f t="shared" si="35"/>
        <v>Mar 2026</v>
      </c>
    </row>
    <row r="738" spans="1:10" x14ac:dyDescent="0.3">
      <c r="A738" t="s">
        <v>1176</v>
      </c>
      <c r="B738" t="s">
        <v>815</v>
      </c>
      <c r="C738" t="s">
        <v>24</v>
      </c>
      <c r="D738" s="5">
        <v>13</v>
      </c>
      <c r="E738" t="s">
        <v>1308</v>
      </c>
      <c r="F738" t="s">
        <v>92</v>
      </c>
      <c r="G738" s="2">
        <f t="shared" si="33"/>
        <v>46225</v>
      </c>
      <c r="H738" cm="1">
        <f t="array" ref="H738">D738*_xlfn.XLOOKUP(C738,Clean_Inventry_Master!A:A,Clean_Inventry_Master!E:E,NOT FOUND,0)</f>
        <v>1819.8700000000001</v>
      </c>
      <c r="I738" s="2">
        <f t="shared" si="34"/>
        <v>46204</v>
      </c>
      <c r="J738" t="str">
        <f t="shared" si="35"/>
        <v>Jul 2026</v>
      </c>
    </row>
    <row r="739" spans="1:10" x14ac:dyDescent="0.3">
      <c r="A739" t="s">
        <v>1177</v>
      </c>
      <c r="B739" t="s">
        <v>85</v>
      </c>
      <c r="C739" t="s">
        <v>35</v>
      </c>
      <c r="D739" s="5">
        <v>4</v>
      </c>
      <c r="E739" t="s">
        <v>82</v>
      </c>
      <c r="F739" t="s">
        <v>78</v>
      </c>
      <c r="G739" s="2">
        <f t="shared" si="33"/>
        <v>46224</v>
      </c>
      <c r="H739" cm="1">
        <f t="array" ref="H739">D739*_xlfn.XLOOKUP(C739,Clean_Inventry_Master!A:A,Clean_Inventry_Master!E:E,NOT FOUND,0)</f>
        <v>39.96</v>
      </c>
      <c r="I739" s="2">
        <f t="shared" si="34"/>
        <v>46204</v>
      </c>
      <c r="J739" t="str">
        <f t="shared" si="35"/>
        <v>Jul 2026</v>
      </c>
    </row>
    <row r="740" spans="1:10" x14ac:dyDescent="0.3">
      <c r="A740" t="s">
        <v>1178</v>
      </c>
      <c r="B740" t="s">
        <v>333</v>
      </c>
      <c r="C740" t="s">
        <v>41</v>
      </c>
      <c r="D740" s="5">
        <v>6</v>
      </c>
      <c r="E740" t="s">
        <v>1308</v>
      </c>
      <c r="F740" t="s">
        <v>83</v>
      </c>
      <c r="G740" s="2">
        <f t="shared" si="33"/>
        <v>46155</v>
      </c>
      <c r="H740" cm="1">
        <f t="array" ref="H740">D740*_xlfn.XLOOKUP(C740,Clean_Inventry_Master!A:A,Clean_Inventry_Master!E:E,NOT FOUND,0)</f>
        <v>239.94</v>
      </c>
      <c r="I740" s="2">
        <f t="shared" si="34"/>
        <v>46143</v>
      </c>
      <c r="J740" t="str">
        <f t="shared" si="35"/>
        <v>May 2026</v>
      </c>
    </row>
    <row r="741" spans="1:10" x14ac:dyDescent="0.3">
      <c r="A741" t="s">
        <v>1179</v>
      </c>
      <c r="B741" t="s">
        <v>862</v>
      </c>
      <c r="C741" t="s">
        <v>54</v>
      </c>
      <c r="D741" s="5">
        <v>3</v>
      </c>
      <c r="E741" t="s">
        <v>1308</v>
      </c>
      <c r="F741" t="s">
        <v>78</v>
      </c>
      <c r="G741" s="2">
        <f t="shared" si="33"/>
        <v>46068</v>
      </c>
      <c r="H741" cm="1">
        <f t="array" ref="H741">D741*_xlfn.XLOOKUP(C741,Clean_Inventry_Master!A:A,Clean_Inventry_Master!E:E,NOT FOUND,0)</f>
        <v>1049.97</v>
      </c>
      <c r="I741" s="2">
        <f t="shared" si="34"/>
        <v>46054</v>
      </c>
      <c r="J741" t="str">
        <f t="shared" si="35"/>
        <v>Feb 2026</v>
      </c>
    </row>
    <row r="742" spans="1:10" x14ac:dyDescent="0.3">
      <c r="A742" t="s">
        <v>1180</v>
      </c>
      <c r="B742" t="s">
        <v>1181</v>
      </c>
      <c r="C742" t="s">
        <v>39</v>
      </c>
      <c r="D742" s="5">
        <v>11</v>
      </c>
      <c r="E742" t="s">
        <v>1308</v>
      </c>
      <c r="F742" t="s">
        <v>78</v>
      </c>
      <c r="G742" s="2">
        <f t="shared" si="33"/>
        <v>46266</v>
      </c>
      <c r="H742" cm="1">
        <f t="array" ref="H742">D742*_xlfn.XLOOKUP(C742,Clean_Inventry_Master!A:A,Clean_Inventry_Master!E:E,NOT FOUND,0)</f>
        <v>241.89</v>
      </c>
      <c r="I742" s="2">
        <f t="shared" si="34"/>
        <v>46266</v>
      </c>
      <c r="J742" t="str">
        <f t="shared" si="35"/>
        <v>Sep 2026</v>
      </c>
    </row>
    <row r="743" spans="1:10" x14ac:dyDescent="0.3">
      <c r="A743" t="s">
        <v>1182</v>
      </c>
      <c r="B743" t="s">
        <v>1183</v>
      </c>
      <c r="C743" t="s">
        <v>52</v>
      </c>
      <c r="D743" s="5">
        <v>9</v>
      </c>
      <c r="E743" t="s">
        <v>91</v>
      </c>
      <c r="F743" t="s">
        <v>78</v>
      </c>
      <c r="G743" s="2">
        <f t="shared" si="33"/>
        <v>46192</v>
      </c>
      <c r="H743" cm="1">
        <f t="array" ref="H743">D743*_xlfn.XLOOKUP(C743,Clean_Inventry_Master!A:A,Clean_Inventry_Master!E:E,NOT FOUND,0)</f>
        <v>269.90999999999997</v>
      </c>
      <c r="I743" s="2">
        <f t="shared" si="34"/>
        <v>46174</v>
      </c>
      <c r="J743" t="str">
        <f t="shared" si="35"/>
        <v>Jun 2026</v>
      </c>
    </row>
    <row r="744" spans="1:10" x14ac:dyDescent="0.3">
      <c r="A744" t="s">
        <v>1184</v>
      </c>
      <c r="B744" t="s">
        <v>876</v>
      </c>
      <c r="C744" t="s">
        <v>64</v>
      </c>
      <c r="D744" s="5">
        <v>2</v>
      </c>
      <c r="E744" t="s">
        <v>1308</v>
      </c>
      <c r="F744" t="s">
        <v>83</v>
      </c>
      <c r="G744" s="2">
        <f t="shared" si="33"/>
        <v>46291</v>
      </c>
      <c r="H744" cm="1">
        <f t="array" ref="H744">D744*_xlfn.XLOOKUP(C744,Clean_Inventry_Master!A:A,Clean_Inventry_Master!E:E,NOT FOUND,0)</f>
        <v>39.979999999999997</v>
      </c>
      <c r="I744" s="2">
        <f t="shared" si="34"/>
        <v>46266</v>
      </c>
      <c r="J744" t="str">
        <f t="shared" si="35"/>
        <v>Sep 2026</v>
      </c>
    </row>
    <row r="745" spans="1:10" x14ac:dyDescent="0.3">
      <c r="A745" t="s">
        <v>1185</v>
      </c>
      <c r="B745" t="s">
        <v>809</v>
      </c>
      <c r="C745" t="s">
        <v>33</v>
      </c>
      <c r="D745" s="5">
        <v>13</v>
      </c>
      <c r="E745" t="s">
        <v>91</v>
      </c>
      <c r="F745" t="s">
        <v>92</v>
      </c>
      <c r="G745" s="2">
        <f t="shared" si="33"/>
        <v>46280</v>
      </c>
      <c r="H745" cm="1">
        <f t="array" ref="H745">D745*_xlfn.XLOOKUP(C745,Clean_Inventry_Master!A:A,Clean_Inventry_Master!E:E,NOT FOUND,0)</f>
        <v>312</v>
      </c>
      <c r="I745" s="2">
        <f t="shared" si="34"/>
        <v>46266</v>
      </c>
      <c r="J745" t="str">
        <f t="shared" si="35"/>
        <v>Sep 2026</v>
      </c>
    </row>
    <row r="746" spans="1:10" x14ac:dyDescent="0.3">
      <c r="A746" t="s">
        <v>1186</v>
      </c>
      <c r="B746" t="s">
        <v>678</v>
      </c>
      <c r="C746" t="s">
        <v>64</v>
      </c>
      <c r="D746" s="5">
        <v>11</v>
      </c>
      <c r="E746" t="s">
        <v>82</v>
      </c>
      <c r="F746" t="s">
        <v>78</v>
      </c>
      <c r="G746" s="2">
        <f t="shared" si="33"/>
        <v>46057</v>
      </c>
      <c r="H746" cm="1">
        <f t="array" ref="H746">D746*_xlfn.XLOOKUP(C746,Clean_Inventry_Master!A:A,Clean_Inventry_Master!E:E,NOT FOUND,0)</f>
        <v>219.89</v>
      </c>
      <c r="I746" s="2">
        <f t="shared" si="34"/>
        <v>46054</v>
      </c>
      <c r="J746" t="str">
        <f t="shared" si="35"/>
        <v>Feb 2026</v>
      </c>
    </row>
    <row r="747" spans="1:10" x14ac:dyDescent="0.3">
      <c r="A747" t="s">
        <v>1187</v>
      </c>
      <c r="B747" t="s">
        <v>203</v>
      </c>
      <c r="C747" t="s">
        <v>24</v>
      </c>
      <c r="D747" s="5">
        <v>8</v>
      </c>
      <c r="E747" t="s">
        <v>82</v>
      </c>
      <c r="F747" t="s">
        <v>78</v>
      </c>
      <c r="G747" s="2">
        <f t="shared" si="33"/>
        <v>46136</v>
      </c>
      <c r="H747" cm="1">
        <f t="array" ref="H747">D747*_xlfn.XLOOKUP(C747,Clean_Inventry_Master!A:A,Clean_Inventry_Master!E:E,NOT FOUND,0)</f>
        <v>1119.92</v>
      </c>
      <c r="I747" s="2">
        <f t="shared" si="34"/>
        <v>46113</v>
      </c>
      <c r="J747" t="str">
        <f t="shared" si="35"/>
        <v>Apr 2026</v>
      </c>
    </row>
    <row r="748" spans="1:10" x14ac:dyDescent="0.3">
      <c r="A748" t="s">
        <v>1188</v>
      </c>
      <c r="B748" t="s">
        <v>1189</v>
      </c>
      <c r="C748" t="s">
        <v>68</v>
      </c>
      <c r="D748" s="5">
        <v>11</v>
      </c>
      <c r="E748" t="s">
        <v>1308</v>
      </c>
      <c r="F748" t="s">
        <v>78</v>
      </c>
      <c r="G748" s="2">
        <f t="shared" si="33"/>
        <v>46127</v>
      </c>
      <c r="H748" cm="1">
        <f t="array" ref="H748">D748*_xlfn.XLOOKUP(C748,Clean_Inventry_Master!A:A,Clean_Inventry_Master!E:E,NOT FOUND,0)</f>
        <v>467.5</v>
      </c>
      <c r="I748" s="2">
        <f t="shared" si="34"/>
        <v>46113</v>
      </c>
      <c r="J748" t="str">
        <f t="shared" si="35"/>
        <v>Apr 2026</v>
      </c>
    </row>
    <row r="749" spans="1:10" x14ac:dyDescent="0.3">
      <c r="A749" t="s">
        <v>1190</v>
      </c>
      <c r="B749" t="s">
        <v>933</v>
      </c>
      <c r="C749" t="s">
        <v>52</v>
      </c>
      <c r="D749" s="5">
        <v>1</v>
      </c>
      <c r="E749" t="s">
        <v>82</v>
      </c>
      <c r="F749" t="s">
        <v>83</v>
      </c>
      <c r="G749" s="2">
        <f t="shared" si="33"/>
        <v>46169</v>
      </c>
      <c r="H749" cm="1">
        <f t="array" ref="H749">D749*_xlfn.XLOOKUP(C749,Clean_Inventry_Master!A:A,Clean_Inventry_Master!E:E,NOT FOUND,0)</f>
        <v>29.99</v>
      </c>
      <c r="I749" s="2">
        <f t="shared" si="34"/>
        <v>46143</v>
      </c>
      <c r="J749" t="str">
        <f t="shared" si="35"/>
        <v>May 2026</v>
      </c>
    </row>
    <row r="750" spans="1:10" x14ac:dyDescent="0.3">
      <c r="A750" t="s">
        <v>1191</v>
      </c>
      <c r="B750" t="s">
        <v>794</v>
      </c>
      <c r="C750" t="s">
        <v>54</v>
      </c>
      <c r="D750" s="5">
        <v>11</v>
      </c>
      <c r="E750" t="s">
        <v>82</v>
      </c>
      <c r="F750" t="s">
        <v>78</v>
      </c>
      <c r="G750" s="2">
        <f t="shared" si="33"/>
        <v>46045</v>
      </c>
      <c r="H750" cm="1">
        <f t="array" ref="H750">D750*_xlfn.XLOOKUP(C750,Clean_Inventry_Master!A:A,Clean_Inventry_Master!E:E,NOT FOUND,0)</f>
        <v>3849.8900000000003</v>
      </c>
      <c r="I750" s="2">
        <f t="shared" si="34"/>
        <v>46023</v>
      </c>
      <c r="J750" t="str">
        <f t="shared" si="35"/>
        <v>Jan 2026</v>
      </c>
    </row>
    <row r="751" spans="1:10" x14ac:dyDescent="0.3">
      <c r="A751" t="s">
        <v>1192</v>
      </c>
      <c r="B751" t="s">
        <v>173</v>
      </c>
      <c r="C751" t="s">
        <v>54</v>
      </c>
      <c r="D751" s="5">
        <v>14</v>
      </c>
      <c r="E751" t="s">
        <v>82</v>
      </c>
      <c r="F751" t="s">
        <v>83</v>
      </c>
      <c r="G751" s="2">
        <f t="shared" si="33"/>
        <v>46130</v>
      </c>
      <c r="H751" cm="1">
        <f t="array" ref="H751">D751*_xlfn.XLOOKUP(C751,Clean_Inventry_Master!A:A,Clean_Inventry_Master!E:E,NOT FOUND,0)</f>
        <v>4899.8600000000006</v>
      </c>
      <c r="I751" s="2">
        <f t="shared" si="34"/>
        <v>46113</v>
      </c>
      <c r="J751" t="str">
        <f t="shared" si="35"/>
        <v>Apr 2026</v>
      </c>
    </row>
    <row r="752" spans="1:10" x14ac:dyDescent="0.3">
      <c r="A752" t="s">
        <v>1193</v>
      </c>
      <c r="B752" t="s">
        <v>1194</v>
      </c>
      <c r="C752" t="s">
        <v>22</v>
      </c>
      <c r="D752" s="5">
        <v>12</v>
      </c>
      <c r="E752" t="s">
        <v>82</v>
      </c>
      <c r="F752" t="s">
        <v>83</v>
      </c>
      <c r="G752" s="2">
        <f t="shared" si="33"/>
        <v>46097</v>
      </c>
      <c r="H752" cm="1">
        <f t="array" ref="H752">D752*_xlfn.XLOOKUP(C752,Clean_Inventry_Master!A:A,Clean_Inventry_Master!E:E,NOT FOUND,0)</f>
        <v>1439.8799999999999</v>
      </c>
      <c r="I752" s="2">
        <f t="shared" si="34"/>
        <v>46082</v>
      </c>
      <c r="J752" t="str">
        <f t="shared" si="35"/>
        <v>Mar 2026</v>
      </c>
    </row>
    <row r="753" spans="1:10" x14ac:dyDescent="0.3">
      <c r="A753" t="s">
        <v>1195</v>
      </c>
      <c r="B753" t="s">
        <v>1196</v>
      </c>
      <c r="C753" t="s">
        <v>33</v>
      </c>
      <c r="D753" s="5">
        <v>7</v>
      </c>
      <c r="E753" t="s">
        <v>1308</v>
      </c>
      <c r="F753" t="s">
        <v>92</v>
      </c>
      <c r="G753" s="2">
        <f t="shared" si="33"/>
        <v>46148</v>
      </c>
      <c r="H753" cm="1">
        <f t="array" ref="H753">D753*_xlfn.XLOOKUP(C753,Clean_Inventry_Master!A:A,Clean_Inventry_Master!E:E,NOT FOUND,0)</f>
        <v>168</v>
      </c>
      <c r="I753" s="2">
        <f t="shared" si="34"/>
        <v>46143</v>
      </c>
      <c r="J753" t="str">
        <f t="shared" si="35"/>
        <v>May 2026</v>
      </c>
    </row>
    <row r="754" spans="1:10" x14ac:dyDescent="0.3">
      <c r="A754" t="s">
        <v>1197</v>
      </c>
      <c r="B754" t="s">
        <v>441</v>
      </c>
      <c r="C754" t="s">
        <v>18</v>
      </c>
      <c r="D754" s="5">
        <v>5</v>
      </c>
      <c r="E754" t="s">
        <v>82</v>
      </c>
      <c r="F754" t="s">
        <v>78</v>
      </c>
      <c r="G754" s="2">
        <f t="shared" si="33"/>
        <v>46218</v>
      </c>
      <c r="H754" cm="1">
        <f t="array" ref="H754">D754*_xlfn.XLOOKUP(C754,Clean_Inventry_Master!A:A,Clean_Inventry_Master!E:E,NOT FOUND,0)</f>
        <v>349.95</v>
      </c>
      <c r="I754" s="2">
        <f t="shared" si="34"/>
        <v>46204</v>
      </c>
      <c r="J754" t="str">
        <f t="shared" si="35"/>
        <v>Jul 2026</v>
      </c>
    </row>
    <row r="755" spans="1:10" x14ac:dyDescent="0.3">
      <c r="A755" t="s">
        <v>1198</v>
      </c>
      <c r="B755" t="s">
        <v>1199</v>
      </c>
      <c r="C755" t="s">
        <v>20</v>
      </c>
      <c r="D755" s="5">
        <v>13</v>
      </c>
      <c r="E755" t="s">
        <v>82</v>
      </c>
      <c r="F755" t="s">
        <v>83</v>
      </c>
      <c r="G755" s="2">
        <f t="shared" si="33"/>
        <v>46255</v>
      </c>
      <c r="H755" cm="1">
        <f t="array" ref="H755">D755*_xlfn.XLOOKUP(C755,Clean_Inventry_Master!A:A,Clean_Inventry_Master!E:E,NOT FOUND,0)</f>
        <v>1039.8699999999999</v>
      </c>
      <c r="I755" s="2">
        <f t="shared" si="34"/>
        <v>46235</v>
      </c>
      <c r="J755" t="str">
        <f t="shared" si="35"/>
        <v>Aug 2026</v>
      </c>
    </row>
    <row r="756" spans="1:10" x14ac:dyDescent="0.3">
      <c r="A756" t="s">
        <v>1200</v>
      </c>
      <c r="B756" t="s">
        <v>404</v>
      </c>
      <c r="C756" t="s">
        <v>49</v>
      </c>
      <c r="D756" s="5">
        <v>4</v>
      </c>
      <c r="E756" t="s">
        <v>91</v>
      </c>
      <c r="F756" t="s">
        <v>83</v>
      </c>
      <c r="G756" s="2">
        <f t="shared" si="33"/>
        <v>46298</v>
      </c>
      <c r="H756" cm="1">
        <f t="array" ref="H756">D756*_xlfn.XLOOKUP(C756,Clean_Inventry_Master!A:A,Clean_Inventry_Master!E:E,NOT FOUND,0)</f>
        <v>199.96</v>
      </c>
      <c r="I756" s="2">
        <f t="shared" si="34"/>
        <v>46296</v>
      </c>
      <c r="J756" t="str">
        <f t="shared" si="35"/>
        <v>Oct 2026</v>
      </c>
    </row>
    <row r="757" spans="1:10" x14ac:dyDescent="0.3">
      <c r="A757" t="s">
        <v>1201</v>
      </c>
      <c r="B757" t="s">
        <v>269</v>
      </c>
      <c r="C757" t="s">
        <v>28</v>
      </c>
      <c r="D757" s="5">
        <v>8</v>
      </c>
      <c r="E757" t="s">
        <v>91</v>
      </c>
      <c r="F757" t="s">
        <v>92</v>
      </c>
      <c r="G757" s="2">
        <f t="shared" si="33"/>
        <v>46128</v>
      </c>
      <c r="H757" cm="1">
        <f t="array" ref="H757">D757*_xlfn.XLOOKUP(C757,Clean_Inventry_Master!A:A,Clean_Inventry_Master!E:E,NOT FOUND,0)</f>
        <v>1440</v>
      </c>
      <c r="I757" s="2">
        <f t="shared" si="34"/>
        <v>46113</v>
      </c>
      <c r="J757" t="str">
        <f t="shared" si="35"/>
        <v>Apr 2026</v>
      </c>
    </row>
    <row r="758" spans="1:10" x14ac:dyDescent="0.3">
      <c r="A758" t="s">
        <v>1202</v>
      </c>
      <c r="B758" t="s">
        <v>794</v>
      </c>
      <c r="C758" t="s">
        <v>58</v>
      </c>
      <c r="D758" s="5">
        <v>12</v>
      </c>
      <c r="E758" t="s">
        <v>1308</v>
      </c>
      <c r="F758" t="s">
        <v>83</v>
      </c>
      <c r="G758" s="2">
        <f t="shared" si="33"/>
        <v>46045</v>
      </c>
      <c r="H758" cm="1">
        <f t="array" ref="H758">D758*_xlfn.XLOOKUP(C758,Clean_Inventry_Master!A:A,Clean_Inventry_Master!E:E,NOT FOUND,0)</f>
        <v>719.88</v>
      </c>
      <c r="I758" s="2">
        <f t="shared" si="34"/>
        <v>46023</v>
      </c>
      <c r="J758" t="str">
        <f t="shared" si="35"/>
        <v>Jan 2026</v>
      </c>
    </row>
    <row r="759" spans="1:10" x14ac:dyDescent="0.3">
      <c r="A759" t="s">
        <v>1203</v>
      </c>
      <c r="B759" t="s">
        <v>330</v>
      </c>
      <c r="C759" t="s">
        <v>10</v>
      </c>
      <c r="D759" s="5">
        <v>6</v>
      </c>
      <c r="E759" t="s">
        <v>77</v>
      </c>
      <c r="F759" t="s">
        <v>83</v>
      </c>
      <c r="G759" s="2">
        <f t="shared" si="33"/>
        <v>46038</v>
      </c>
      <c r="H759" cm="1">
        <f t="array" ref="H759">D759*_xlfn.XLOOKUP(C759,Clean_Inventry_Master!A:A,Clean_Inventry_Master!E:E,NOT FOUND,0)</f>
        <v>2994</v>
      </c>
      <c r="I759" s="2">
        <f t="shared" si="34"/>
        <v>46023</v>
      </c>
      <c r="J759" t="str">
        <f t="shared" si="35"/>
        <v>Jan 2026</v>
      </c>
    </row>
    <row r="760" spans="1:10" x14ac:dyDescent="0.3">
      <c r="A760" t="s">
        <v>1204</v>
      </c>
      <c r="B760" t="s">
        <v>107</v>
      </c>
      <c r="C760" t="s">
        <v>33</v>
      </c>
      <c r="D760" s="5">
        <v>9</v>
      </c>
      <c r="E760" t="s">
        <v>82</v>
      </c>
      <c r="F760" t="s">
        <v>92</v>
      </c>
      <c r="G760" s="2">
        <f t="shared" si="33"/>
        <v>46058</v>
      </c>
      <c r="H760" cm="1">
        <f t="array" ref="H760">D760*_xlfn.XLOOKUP(C760,Clean_Inventry_Master!A:A,Clean_Inventry_Master!E:E,NOT FOUND,0)</f>
        <v>216</v>
      </c>
      <c r="I760" s="2">
        <f t="shared" si="34"/>
        <v>46054</v>
      </c>
      <c r="J760" t="str">
        <f t="shared" si="35"/>
        <v>Feb 2026</v>
      </c>
    </row>
    <row r="761" spans="1:10" x14ac:dyDescent="0.3">
      <c r="A761" t="s">
        <v>1205</v>
      </c>
      <c r="B761" t="s">
        <v>720</v>
      </c>
      <c r="C761" t="s">
        <v>22</v>
      </c>
      <c r="D761" s="5">
        <v>7</v>
      </c>
      <c r="E761" t="s">
        <v>82</v>
      </c>
      <c r="F761" t="s">
        <v>78</v>
      </c>
      <c r="G761" s="2">
        <f t="shared" si="33"/>
        <v>46043</v>
      </c>
      <c r="H761" cm="1">
        <f t="array" ref="H761">D761*_xlfn.XLOOKUP(C761,Clean_Inventry_Master!A:A,Clean_Inventry_Master!E:E,NOT FOUND,0)</f>
        <v>839.93</v>
      </c>
      <c r="I761" s="2">
        <f t="shared" si="34"/>
        <v>46023</v>
      </c>
      <c r="J761" t="str">
        <f t="shared" si="35"/>
        <v>Jan 2026</v>
      </c>
    </row>
    <row r="762" spans="1:10" x14ac:dyDescent="0.3">
      <c r="A762" t="s">
        <v>1206</v>
      </c>
      <c r="B762" t="s">
        <v>118</v>
      </c>
      <c r="C762" t="s">
        <v>49</v>
      </c>
      <c r="D762" s="5">
        <v>6</v>
      </c>
      <c r="E762" t="s">
        <v>1308</v>
      </c>
      <c r="F762" t="s">
        <v>78</v>
      </c>
      <c r="G762" s="2">
        <f t="shared" si="33"/>
        <v>46209</v>
      </c>
      <c r="H762" cm="1">
        <f t="array" ref="H762">D762*_xlfn.XLOOKUP(C762,Clean_Inventry_Master!A:A,Clean_Inventry_Master!E:E,NOT FOUND,0)</f>
        <v>299.94</v>
      </c>
      <c r="I762" s="2">
        <f t="shared" si="34"/>
        <v>46204</v>
      </c>
      <c r="J762" t="str">
        <f t="shared" si="35"/>
        <v>Jul 2026</v>
      </c>
    </row>
    <row r="763" spans="1:10" x14ac:dyDescent="0.3">
      <c r="A763" t="s">
        <v>1207</v>
      </c>
      <c r="B763" t="s">
        <v>551</v>
      </c>
      <c r="C763" t="s">
        <v>37</v>
      </c>
      <c r="D763" s="5">
        <v>8</v>
      </c>
      <c r="E763" t="s">
        <v>91</v>
      </c>
      <c r="F763" t="s">
        <v>83</v>
      </c>
      <c r="G763" s="2">
        <f t="shared" si="33"/>
        <v>46257</v>
      </c>
      <c r="H763" cm="1">
        <f t="array" ref="H763">D763*_xlfn.XLOOKUP(C763,Clean_Inventry_Master!A:A,Clean_Inventry_Master!E:E,NOT FOUND,0)</f>
        <v>360</v>
      </c>
      <c r="I763" s="2">
        <f t="shared" si="34"/>
        <v>46235</v>
      </c>
      <c r="J763" t="str">
        <f t="shared" si="35"/>
        <v>Aug 2026</v>
      </c>
    </row>
    <row r="764" spans="1:10" x14ac:dyDescent="0.3">
      <c r="A764" t="s">
        <v>1208</v>
      </c>
      <c r="B764" t="s">
        <v>885</v>
      </c>
      <c r="C764" t="s">
        <v>28</v>
      </c>
      <c r="D764" s="5">
        <v>12</v>
      </c>
      <c r="E764" t="s">
        <v>82</v>
      </c>
      <c r="F764" t="s">
        <v>92</v>
      </c>
      <c r="G764" s="2">
        <f t="shared" si="33"/>
        <v>46029</v>
      </c>
      <c r="H764" cm="1">
        <f t="array" ref="H764">D764*_xlfn.XLOOKUP(C764,Clean_Inventry_Master!A:A,Clean_Inventry_Master!E:E,NOT FOUND,0)</f>
        <v>2160</v>
      </c>
      <c r="I764" s="2">
        <f t="shared" si="34"/>
        <v>46023</v>
      </c>
      <c r="J764" t="str">
        <f t="shared" si="35"/>
        <v>Jan 2026</v>
      </c>
    </row>
    <row r="765" spans="1:10" x14ac:dyDescent="0.3">
      <c r="A765" t="s">
        <v>1209</v>
      </c>
      <c r="B765" t="s">
        <v>80</v>
      </c>
      <c r="C765" t="s">
        <v>20</v>
      </c>
      <c r="D765" s="5">
        <v>11</v>
      </c>
      <c r="E765" t="s">
        <v>82</v>
      </c>
      <c r="F765" t="s">
        <v>78</v>
      </c>
      <c r="G765" s="2">
        <f t="shared" si="33"/>
        <v>46266</v>
      </c>
      <c r="H765" cm="1">
        <f t="array" ref="H765">D765*_xlfn.XLOOKUP(C765,Clean_Inventry_Master!A:A,Clean_Inventry_Master!E:E,NOT FOUND,0)</f>
        <v>879.89</v>
      </c>
      <c r="I765" s="2">
        <f t="shared" si="34"/>
        <v>46266</v>
      </c>
      <c r="J765" t="str">
        <f t="shared" si="35"/>
        <v>Sep 2026</v>
      </c>
    </row>
    <row r="766" spans="1:10" x14ac:dyDescent="0.3">
      <c r="A766" t="s">
        <v>1210</v>
      </c>
      <c r="B766" t="s">
        <v>311</v>
      </c>
      <c r="C766" t="s">
        <v>14</v>
      </c>
      <c r="D766" s="5">
        <v>14</v>
      </c>
      <c r="E766" t="s">
        <v>91</v>
      </c>
      <c r="F766" t="s">
        <v>92</v>
      </c>
      <c r="G766" s="2">
        <f t="shared" si="33"/>
        <v>46061</v>
      </c>
      <c r="H766" cm="1">
        <f t="array" ref="H766">D766*_xlfn.XLOOKUP(C766,Clean_Inventry_Master!A:A,Clean_Inventry_Master!E:E,NOT FOUND,0)</f>
        <v>490</v>
      </c>
      <c r="I766" s="2">
        <f t="shared" si="34"/>
        <v>46054</v>
      </c>
      <c r="J766" t="str">
        <f t="shared" si="35"/>
        <v>Feb 2026</v>
      </c>
    </row>
    <row r="767" spans="1:10" x14ac:dyDescent="0.3">
      <c r="A767" t="s">
        <v>1211</v>
      </c>
      <c r="B767" t="s">
        <v>104</v>
      </c>
      <c r="C767" t="s">
        <v>22</v>
      </c>
      <c r="D767" s="5">
        <v>10</v>
      </c>
      <c r="E767" t="s">
        <v>1308</v>
      </c>
      <c r="F767" t="s">
        <v>92</v>
      </c>
      <c r="G767" s="2">
        <f t="shared" si="33"/>
        <v>46275</v>
      </c>
      <c r="H767" cm="1">
        <f t="array" ref="H767">D767*_xlfn.XLOOKUP(C767,Clean_Inventry_Master!A:A,Clean_Inventry_Master!E:E,NOT FOUND,0)</f>
        <v>1199.8999999999999</v>
      </c>
      <c r="I767" s="2">
        <f t="shared" si="34"/>
        <v>46266</v>
      </c>
      <c r="J767" t="str">
        <f t="shared" si="35"/>
        <v>Sep 2026</v>
      </c>
    </row>
    <row r="768" spans="1:10" x14ac:dyDescent="0.3">
      <c r="A768" t="s">
        <v>1213</v>
      </c>
      <c r="B768" t="s">
        <v>241</v>
      </c>
      <c r="C768" t="s">
        <v>41</v>
      </c>
      <c r="D768" s="5">
        <v>4</v>
      </c>
      <c r="E768" t="s">
        <v>1308</v>
      </c>
      <c r="F768" t="s">
        <v>78</v>
      </c>
      <c r="G768" s="2">
        <f t="shared" si="33"/>
        <v>46195</v>
      </c>
      <c r="H768" cm="1">
        <f t="array" ref="H768">D768*_xlfn.XLOOKUP(C768,Clean_Inventry_Master!A:A,Clean_Inventry_Master!E:E,NOT FOUND,0)</f>
        <v>159.96</v>
      </c>
      <c r="I768" s="2">
        <f t="shared" si="34"/>
        <v>46174</v>
      </c>
      <c r="J768" t="str">
        <f t="shared" si="35"/>
        <v>Jun 2026</v>
      </c>
    </row>
    <row r="769" spans="1:10" x14ac:dyDescent="0.3">
      <c r="A769" t="s">
        <v>1214</v>
      </c>
      <c r="B769" t="s">
        <v>1215</v>
      </c>
      <c r="C769" t="s">
        <v>12</v>
      </c>
      <c r="D769" s="5">
        <v>6</v>
      </c>
      <c r="E769" t="s">
        <v>82</v>
      </c>
      <c r="F769" t="s">
        <v>78</v>
      </c>
      <c r="G769" s="2">
        <f t="shared" si="33"/>
        <v>46239</v>
      </c>
      <c r="H769" cm="1">
        <f t="array" ref="H769">D769*_xlfn.XLOOKUP(C769,Clean_Inventry_Master!A:A,Clean_Inventry_Master!E:E,NOT FOUND,0)</f>
        <v>570</v>
      </c>
      <c r="I769" s="2">
        <f t="shared" si="34"/>
        <v>46235</v>
      </c>
      <c r="J769" t="str">
        <f t="shared" si="35"/>
        <v>Aug 2026</v>
      </c>
    </row>
    <row r="770" spans="1:10" x14ac:dyDescent="0.3">
      <c r="A770" t="s">
        <v>1216</v>
      </c>
      <c r="B770" t="s">
        <v>179</v>
      </c>
      <c r="C770" t="s">
        <v>7</v>
      </c>
      <c r="D770" s="5">
        <v>12</v>
      </c>
      <c r="E770" t="s">
        <v>82</v>
      </c>
      <c r="F770" t="s">
        <v>92</v>
      </c>
      <c r="G770" s="2">
        <f t="shared" ref="G770:G833" si="36">IF(ISNUMBER(SEARCH("-", B770)), DATEVALUE(B770), DATE(RIGHT(B770,4), LEFT(B770, FIND("/", B770)-1), MID(B770, FIND("/", B770)+1, FIND("/", B770, FIND("/", B770)+1) - FIND("/", B770) - 1)))</f>
        <v>46120</v>
      </c>
      <c r="H770" cm="1">
        <f t="array" ref="H770">D770*_xlfn.XLOOKUP(C770,Clean_Inventry_Master!A:A,Clean_Inventry_Master!E:E,NOT FOUND,0)</f>
        <v>540</v>
      </c>
      <c r="I770" s="2">
        <f t="shared" ref="I770:I833" si="37">DATE(YEAR(G770),MONTH(G770),1)</f>
        <v>46113</v>
      </c>
      <c r="J770" t="str">
        <f t="shared" ref="J770:J833" si="38">TEXT(I770,"mmm yyyy")</f>
        <v>Apr 2026</v>
      </c>
    </row>
    <row r="771" spans="1:10" x14ac:dyDescent="0.3">
      <c r="A771" t="s">
        <v>1217</v>
      </c>
      <c r="B771" t="s">
        <v>507</v>
      </c>
      <c r="C771" t="s">
        <v>22</v>
      </c>
      <c r="D771" s="5">
        <v>14</v>
      </c>
      <c r="E771" t="s">
        <v>1308</v>
      </c>
      <c r="F771" t="s">
        <v>92</v>
      </c>
      <c r="G771" s="2">
        <f t="shared" si="36"/>
        <v>46075</v>
      </c>
      <c r="H771" cm="1">
        <f t="array" ref="H771">D771*_xlfn.XLOOKUP(C771,Clean_Inventry_Master!A:A,Clean_Inventry_Master!E:E,NOT FOUND,0)</f>
        <v>1679.86</v>
      </c>
      <c r="I771" s="2">
        <f t="shared" si="37"/>
        <v>46054</v>
      </c>
      <c r="J771" t="str">
        <f t="shared" si="38"/>
        <v>Feb 2026</v>
      </c>
    </row>
    <row r="772" spans="1:10" x14ac:dyDescent="0.3">
      <c r="A772" t="s">
        <v>1218</v>
      </c>
      <c r="B772" t="s">
        <v>422</v>
      </c>
      <c r="C772" t="s">
        <v>47</v>
      </c>
      <c r="D772" s="5">
        <v>13</v>
      </c>
      <c r="E772" t="s">
        <v>82</v>
      </c>
      <c r="F772" t="s">
        <v>92</v>
      </c>
      <c r="G772" s="2">
        <f t="shared" si="36"/>
        <v>46059</v>
      </c>
      <c r="H772" cm="1">
        <f t="array" ref="H772">D772*_xlfn.XLOOKUP(C772,Clean_Inventry_Master!A:A,Clean_Inventry_Master!E:E,NOT FOUND,0)</f>
        <v>1689.8700000000001</v>
      </c>
      <c r="I772" s="2">
        <f t="shared" si="37"/>
        <v>46054</v>
      </c>
      <c r="J772" t="str">
        <f t="shared" si="38"/>
        <v>Feb 2026</v>
      </c>
    </row>
    <row r="773" spans="1:10" x14ac:dyDescent="0.3">
      <c r="A773" t="s">
        <v>1219</v>
      </c>
      <c r="B773" t="s">
        <v>155</v>
      </c>
      <c r="C773" t="s">
        <v>49</v>
      </c>
      <c r="D773" s="5">
        <v>10</v>
      </c>
      <c r="E773" t="s">
        <v>1308</v>
      </c>
      <c r="F773" t="s">
        <v>92</v>
      </c>
      <c r="G773" s="2">
        <f t="shared" si="36"/>
        <v>46039</v>
      </c>
      <c r="H773" cm="1">
        <f t="array" ref="H773">D773*_xlfn.XLOOKUP(C773,Clean_Inventry_Master!A:A,Clean_Inventry_Master!E:E,NOT FOUND,0)</f>
        <v>499.90000000000003</v>
      </c>
      <c r="I773" s="2">
        <f t="shared" si="37"/>
        <v>46023</v>
      </c>
      <c r="J773" t="str">
        <f t="shared" si="38"/>
        <v>Jan 2026</v>
      </c>
    </row>
    <row r="774" spans="1:10" x14ac:dyDescent="0.3">
      <c r="A774" t="s">
        <v>1220</v>
      </c>
      <c r="B774" t="s">
        <v>524</v>
      </c>
      <c r="C774" t="s">
        <v>49</v>
      </c>
      <c r="D774" s="5">
        <v>2</v>
      </c>
      <c r="E774" t="s">
        <v>91</v>
      </c>
      <c r="F774" t="s">
        <v>78</v>
      </c>
      <c r="G774" s="2">
        <f t="shared" si="36"/>
        <v>46230</v>
      </c>
      <c r="H774" cm="1">
        <f t="array" ref="H774">D774*_xlfn.XLOOKUP(C774,Clean_Inventry_Master!A:A,Clean_Inventry_Master!E:E,NOT FOUND,0)</f>
        <v>99.98</v>
      </c>
      <c r="I774" s="2">
        <f t="shared" si="37"/>
        <v>46204</v>
      </c>
      <c r="J774" t="str">
        <f t="shared" si="38"/>
        <v>Jul 2026</v>
      </c>
    </row>
    <row r="775" spans="1:10" x14ac:dyDescent="0.3">
      <c r="A775" t="s">
        <v>1221</v>
      </c>
      <c r="B775" t="s">
        <v>1222</v>
      </c>
      <c r="C775" t="s">
        <v>37</v>
      </c>
      <c r="D775" s="5">
        <v>5</v>
      </c>
      <c r="E775" t="s">
        <v>77</v>
      </c>
      <c r="F775" t="s">
        <v>83</v>
      </c>
      <c r="G775" s="2">
        <f t="shared" si="36"/>
        <v>46129</v>
      </c>
      <c r="H775" cm="1">
        <f t="array" ref="H775">D775*_xlfn.XLOOKUP(C775,Clean_Inventry_Master!A:A,Clean_Inventry_Master!E:E,NOT FOUND,0)</f>
        <v>225</v>
      </c>
      <c r="I775" s="2">
        <f t="shared" si="37"/>
        <v>46113</v>
      </c>
      <c r="J775" t="str">
        <f t="shared" si="38"/>
        <v>Apr 2026</v>
      </c>
    </row>
    <row r="776" spans="1:10" x14ac:dyDescent="0.3">
      <c r="A776" t="s">
        <v>1223</v>
      </c>
      <c r="B776" t="s">
        <v>555</v>
      </c>
      <c r="C776" t="s">
        <v>7</v>
      </c>
      <c r="D776" s="5">
        <v>4</v>
      </c>
      <c r="E776" t="s">
        <v>91</v>
      </c>
      <c r="F776" t="s">
        <v>78</v>
      </c>
      <c r="G776" s="2">
        <f t="shared" si="36"/>
        <v>46074</v>
      </c>
      <c r="H776" cm="1">
        <f t="array" ref="H776">D776*_xlfn.XLOOKUP(C776,Clean_Inventry_Master!A:A,Clean_Inventry_Master!E:E,NOT FOUND,0)</f>
        <v>180</v>
      </c>
      <c r="I776" s="2">
        <f t="shared" si="37"/>
        <v>46054</v>
      </c>
      <c r="J776" t="str">
        <f t="shared" si="38"/>
        <v>Feb 2026</v>
      </c>
    </row>
    <row r="777" spans="1:10" x14ac:dyDescent="0.3">
      <c r="A777" t="s">
        <v>1224</v>
      </c>
      <c r="B777" t="s">
        <v>544</v>
      </c>
      <c r="C777" t="s">
        <v>43</v>
      </c>
      <c r="D777" s="5">
        <v>6</v>
      </c>
      <c r="E777" t="s">
        <v>1308</v>
      </c>
      <c r="F777" t="s">
        <v>78</v>
      </c>
      <c r="G777" s="2">
        <f t="shared" si="36"/>
        <v>46134</v>
      </c>
      <c r="H777" cm="1">
        <f t="array" ref="H777">D777*_xlfn.XLOOKUP(C777,Clean_Inventry_Master!A:A,Clean_Inventry_Master!E:E,NOT FOUND,0)</f>
        <v>51</v>
      </c>
      <c r="I777" s="2">
        <f t="shared" si="37"/>
        <v>46113</v>
      </c>
      <c r="J777" t="str">
        <f t="shared" si="38"/>
        <v>Apr 2026</v>
      </c>
    </row>
    <row r="778" spans="1:10" x14ac:dyDescent="0.3">
      <c r="A778" t="s">
        <v>1225</v>
      </c>
      <c r="B778" t="s">
        <v>1226</v>
      </c>
      <c r="C778" t="s">
        <v>64</v>
      </c>
      <c r="D778" s="5">
        <v>6</v>
      </c>
      <c r="E778" t="s">
        <v>91</v>
      </c>
      <c r="F778" t="s">
        <v>92</v>
      </c>
      <c r="G778" s="2">
        <f t="shared" si="36"/>
        <v>46096</v>
      </c>
      <c r="H778" cm="1">
        <f t="array" ref="H778">D778*_xlfn.XLOOKUP(C778,Clean_Inventry_Master!A:A,Clean_Inventry_Master!E:E,NOT FOUND,0)</f>
        <v>119.94</v>
      </c>
      <c r="I778" s="2">
        <f t="shared" si="37"/>
        <v>46082</v>
      </c>
      <c r="J778" t="str">
        <f t="shared" si="38"/>
        <v>Mar 2026</v>
      </c>
    </row>
    <row r="779" spans="1:10" x14ac:dyDescent="0.3">
      <c r="A779" t="s">
        <v>1227</v>
      </c>
      <c r="B779" t="s">
        <v>94</v>
      </c>
      <c r="C779" t="s">
        <v>18</v>
      </c>
      <c r="D779" s="5">
        <v>3</v>
      </c>
      <c r="E779" t="s">
        <v>91</v>
      </c>
      <c r="F779" t="s">
        <v>78</v>
      </c>
      <c r="G779" s="2">
        <f t="shared" si="36"/>
        <v>46281</v>
      </c>
      <c r="H779" cm="1">
        <f t="array" ref="H779">D779*_xlfn.XLOOKUP(C779,Clean_Inventry_Master!A:A,Clean_Inventry_Master!E:E,NOT FOUND,0)</f>
        <v>209.96999999999997</v>
      </c>
      <c r="I779" s="2">
        <f t="shared" si="37"/>
        <v>46266</v>
      </c>
      <c r="J779" t="str">
        <f t="shared" si="38"/>
        <v>Sep 2026</v>
      </c>
    </row>
    <row r="780" spans="1:10" x14ac:dyDescent="0.3">
      <c r="A780" t="s">
        <v>1228</v>
      </c>
      <c r="B780" t="s">
        <v>564</v>
      </c>
      <c r="C780" t="s">
        <v>62</v>
      </c>
      <c r="D780" s="5">
        <v>1</v>
      </c>
      <c r="E780" t="s">
        <v>91</v>
      </c>
      <c r="F780" t="s">
        <v>83</v>
      </c>
      <c r="G780" s="2">
        <f t="shared" si="36"/>
        <v>46108</v>
      </c>
      <c r="H780" cm="1">
        <f t="array" ref="H780">D780*_xlfn.XLOOKUP(C780,Clean_Inventry_Master!A:A,Clean_Inventry_Master!E:E,NOT FOUND,0)</f>
        <v>27.5</v>
      </c>
      <c r="I780" s="2">
        <f t="shared" si="37"/>
        <v>46082</v>
      </c>
      <c r="J780" t="str">
        <f t="shared" si="38"/>
        <v>Mar 2026</v>
      </c>
    </row>
    <row r="781" spans="1:10" x14ac:dyDescent="0.3">
      <c r="A781" t="s">
        <v>1229</v>
      </c>
      <c r="B781" t="s">
        <v>585</v>
      </c>
      <c r="C781" t="s">
        <v>14</v>
      </c>
      <c r="D781" s="5">
        <v>6</v>
      </c>
      <c r="E781" t="s">
        <v>91</v>
      </c>
      <c r="F781" t="s">
        <v>92</v>
      </c>
      <c r="G781" s="2">
        <f t="shared" si="36"/>
        <v>46132</v>
      </c>
      <c r="H781" cm="1">
        <f t="array" ref="H781">D781*_xlfn.XLOOKUP(C781,Clean_Inventry_Master!A:A,Clean_Inventry_Master!E:E,NOT FOUND,0)</f>
        <v>210</v>
      </c>
      <c r="I781" s="2">
        <f t="shared" si="37"/>
        <v>46113</v>
      </c>
      <c r="J781" t="str">
        <f t="shared" si="38"/>
        <v>Apr 2026</v>
      </c>
    </row>
    <row r="782" spans="1:10" x14ac:dyDescent="0.3">
      <c r="A782" t="s">
        <v>1230</v>
      </c>
      <c r="B782" t="s">
        <v>540</v>
      </c>
      <c r="C782" t="s">
        <v>18</v>
      </c>
      <c r="D782" s="5">
        <v>8</v>
      </c>
      <c r="E782" t="s">
        <v>82</v>
      </c>
      <c r="F782" t="s">
        <v>92</v>
      </c>
      <c r="G782" s="2">
        <f t="shared" si="36"/>
        <v>46180</v>
      </c>
      <c r="H782" cm="1">
        <f t="array" ref="H782">D782*_xlfn.XLOOKUP(C782,Clean_Inventry_Master!A:A,Clean_Inventry_Master!E:E,NOT FOUND,0)</f>
        <v>559.91999999999996</v>
      </c>
      <c r="I782" s="2">
        <f t="shared" si="37"/>
        <v>46174</v>
      </c>
      <c r="J782" t="str">
        <f t="shared" si="38"/>
        <v>Jun 2026</v>
      </c>
    </row>
    <row r="783" spans="1:10" x14ac:dyDescent="0.3">
      <c r="A783" t="s">
        <v>1231</v>
      </c>
      <c r="B783" t="s">
        <v>220</v>
      </c>
      <c r="C783" t="s">
        <v>26</v>
      </c>
      <c r="D783" s="5">
        <v>4</v>
      </c>
      <c r="E783" t="s">
        <v>77</v>
      </c>
      <c r="F783" t="s">
        <v>83</v>
      </c>
      <c r="G783" s="2">
        <f t="shared" si="36"/>
        <v>46202</v>
      </c>
      <c r="H783" cm="1">
        <f t="array" ref="H783">D783*_xlfn.XLOOKUP(C783,Clean_Inventry_Master!A:A,Clean_Inventry_Master!E:E,NOT FOUND,0)</f>
        <v>359.96</v>
      </c>
      <c r="I783" s="2">
        <f t="shared" si="37"/>
        <v>46174</v>
      </c>
      <c r="J783" t="str">
        <f t="shared" si="38"/>
        <v>Jun 2026</v>
      </c>
    </row>
    <row r="784" spans="1:10" x14ac:dyDescent="0.3">
      <c r="A784" t="s">
        <v>1232</v>
      </c>
      <c r="B784" t="s">
        <v>650</v>
      </c>
      <c r="C784" t="s">
        <v>16</v>
      </c>
      <c r="D784" s="5">
        <v>2</v>
      </c>
      <c r="E784" t="s">
        <v>91</v>
      </c>
      <c r="F784" t="s">
        <v>83</v>
      </c>
      <c r="G784" s="2">
        <f t="shared" si="36"/>
        <v>46099</v>
      </c>
      <c r="H784" cm="1">
        <f t="array" ref="H784">D784*_xlfn.XLOOKUP(C784,Clean_Inventry_Master!A:A,Clean_Inventry_Master!E:E,NOT FOUND,0)</f>
        <v>458</v>
      </c>
      <c r="I784" s="2">
        <f t="shared" si="37"/>
        <v>46082</v>
      </c>
      <c r="J784" t="str">
        <f t="shared" si="38"/>
        <v>Mar 2026</v>
      </c>
    </row>
    <row r="785" spans="1:10" x14ac:dyDescent="0.3">
      <c r="A785" t="s">
        <v>1233</v>
      </c>
      <c r="B785" t="s">
        <v>1024</v>
      </c>
      <c r="C785" t="s">
        <v>24</v>
      </c>
      <c r="D785" s="5">
        <v>1</v>
      </c>
      <c r="E785" t="s">
        <v>82</v>
      </c>
      <c r="F785" t="s">
        <v>92</v>
      </c>
      <c r="G785" s="2">
        <f t="shared" si="36"/>
        <v>46147</v>
      </c>
      <c r="H785" cm="1">
        <f t="array" ref="H785">D785*_xlfn.XLOOKUP(C785,Clean_Inventry_Master!A:A,Clean_Inventry_Master!E:E,NOT FOUND,0)</f>
        <v>139.99</v>
      </c>
      <c r="I785" s="2">
        <f t="shared" si="37"/>
        <v>46143</v>
      </c>
      <c r="J785" t="str">
        <f t="shared" si="38"/>
        <v>May 2026</v>
      </c>
    </row>
    <row r="786" spans="1:10" x14ac:dyDescent="0.3">
      <c r="A786" t="s">
        <v>1234</v>
      </c>
      <c r="B786" t="s">
        <v>1235</v>
      </c>
      <c r="C786" t="s">
        <v>49</v>
      </c>
      <c r="D786" s="5">
        <v>13</v>
      </c>
      <c r="E786" t="s">
        <v>82</v>
      </c>
      <c r="F786" t="s">
        <v>92</v>
      </c>
      <c r="G786" s="2">
        <f t="shared" si="36"/>
        <v>46138</v>
      </c>
      <c r="H786" cm="1">
        <f t="array" ref="H786">D786*_xlfn.XLOOKUP(C786,Clean_Inventry_Master!A:A,Clean_Inventry_Master!E:E,NOT FOUND,0)</f>
        <v>649.87</v>
      </c>
      <c r="I786" s="2">
        <f t="shared" si="37"/>
        <v>46113</v>
      </c>
      <c r="J786" t="str">
        <f t="shared" si="38"/>
        <v>Apr 2026</v>
      </c>
    </row>
    <row r="787" spans="1:10" x14ac:dyDescent="0.3">
      <c r="A787" t="s">
        <v>1236</v>
      </c>
      <c r="B787" t="s">
        <v>660</v>
      </c>
      <c r="C787" t="s">
        <v>58</v>
      </c>
      <c r="D787" s="5">
        <v>2</v>
      </c>
      <c r="E787" t="s">
        <v>77</v>
      </c>
      <c r="F787" t="s">
        <v>92</v>
      </c>
      <c r="G787" s="2">
        <f t="shared" si="36"/>
        <v>46107</v>
      </c>
      <c r="H787" cm="1">
        <f t="array" ref="H787">D787*_xlfn.XLOOKUP(C787,Clean_Inventry_Master!A:A,Clean_Inventry_Master!E:E,NOT FOUND,0)</f>
        <v>119.98</v>
      </c>
      <c r="I787" s="2">
        <f t="shared" si="37"/>
        <v>46082</v>
      </c>
      <c r="J787" t="str">
        <f t="shared" si="38"/>
        <v>Mar 2026</v>
      </c>
    </row>
    <row r="788" spans="1:10" x14ac:dyDescent="0.3">
      <c r="A788" t="s">
        <v>1237</v>
      </c>
      <c r="B788" t="s">
        <v>1105</v>
      </c>
      <c r="C788" t="s">
        <v>41</v>
      </c>
      <c r="D788" s="5">
        <v>9</v>
      </c>
      <c r="E788" t="s">
        <v>1308</v>
      </c>
      <c r="F788" t="s">
        <v>78</v>
      </c>
      <c r="G788" s="2">
        <f t="shared" si="36"/>
        <v>46092</v>
      </c>
      <c r="H788" cm="1">
        <f t="array" ref="H788">D788*_xlfn.XLOOKUP(C788,Clean_Inventry_Master!A:A,Clean_Inventry_Master!E:E,NOT FOUND,0)</f>
        <v>359.91</v>
      </c>
      <c r="I788" s="2">
        <f t="shared" si="37"/>
        <v>46082</v>
      </c>
      <c r="J788" t="str">
        <f t="shared" si="38"/>
        <v>Mar 2026</v>
      </c>
    </row>
    <row r="789" spans="1:10" x14ac:dyDescent="0.3">
      <c r="A789" t="s">
        <v>1238</v>
      </c>
      <c r="B789" t="s">
        <v>454</v>
      </c>
      <c r="C789" t="s">
        <v>41</v>
      </c>
      <c r="D789" s="5">
        <v>13</v>
      </c>
      <c r="E789" t="s">
        <v>77</v>
      </c>
      <c r="F789" t="s">
        <v>83</v>
      </c>
      <c r="G789" s="2">
        <f t="shared" si="36"/>
        <v>46151</v>
      </c>
      <c r="H789" cm="1">
        <f t="array" ref="H789">D789*_xlfn.XLOOKUP(C789,Clean_Inventry_Master!A:A,Clean_Inventry_Master!E:E,NOT FOUND,0)</f>
        <v>519.87</v>
      </c>
      <c r="I789" s="2">
        <f t="shared" si="37"/>
        <v>46143</v>
      </c>
      <c r="J789" t="str">
        <f t="shared" si="38"/>
        <v>May 2026</v>
      </c>
    </row>
    <row r="790" spans="1:10" x14ac:dyDescent="0.3">
      <c r="A790" t="s">
        <v>1239</v>
      </c>
      <c r="B790" t="s">
        <v>196</v>
      </c>
      <c r="C790" t="s">
        <v>47</v>
      </c>
      <c r="D790" s="5">
        <v>6</v>
      </c>
      <c r="E790" t="s">
        <v>91</v>
      </c>
      <c r="F790" t="s">
        <v>83</v>
      </c>
      <c r="G790" s="2">
        <f t="shared" si="36"/>
        <v>46265</v>
      </c>
      <c r="H790" cm="1">
        <f t="array" ref="H790">D790*_xlfn.XLOOKUP(C790,Clean_Inventry_Master!A:A,Clean_Inventry_Master!E:E,NOT FOUND,0)</f>
        <v>779.94</v>
      </c>
      <c r="I790" s="2">
        <f t="shared" si="37"/>
        <v>46235</v>
      </c>
      <c r="J790" t="str">
        <f t="shared" si="38"/>
        <v>Aug 2026</v>
      </c>
    </row>
    <row r="791" spans="1:10" x14ac:dyDescent="0.3">
      <c r="A791" t="s">
        <v>1240</v>
      </c>
      <c r="B791" t="s">
        <v>1108</v>
      </c>
      <c r="C791" t="s">
        <v>16</v>
      </c>
      <c r="D791" s="5">
        <v>8</v>
      </c>
      <c r="E791" t="s">
        <v>77</v>
      </c>
      <c r="F791" t="s">
        <v>92</v>
      </c>
      <c r="G791" s="2">
        <f t="shared" si="36"/>
        <v>46071</v>
      </c>
      <c r="H791" cm="1">
        <f t="array" ref="H791">D791*_xlfn.XLOOKUP(C791,Clean_Inventry_Master!A:A,Clean_Inventry_Master!E:E,NOT FOUND,0)</f>
        <v>1832</v>
      </c>
      <c r="I791" s="2">
        <f t="shared" si="37"/>
        <v>46054</v>
      </c>
      <c r="J791" t="str">
        <f t="shared" si="38"/>
        <v>Feb 2026</v>
      </c>
    </row>
    <row r="792" spans="1:10" x14ac:dyDescent="0.3">
      <c r="A792" t="s">
        <v>1241</v>
      </c>
      <c r="B792" t="s">
        <v>100</v>
      </c>
      <c r="C792" t="s">
        <v>54</v>
      </c>
      <c r="D792" s="5">
        <v>2</v>
      </c>
      <c r="E792" t="s">
        <v>77</v>
      </c>
      <c r="F792" t="s">
        <v>92</v>
      </c>
      <c r="G792" s="2">
        <f t="shared" si="36"/>
        <v>46126</v>
      </c>
      <c r="H792" cm="1">
        <f t="array" ref="H792">D792*_xlfn.XLOOKUP(C792,Clean_Inventry_Master!A:A,Clean_Inventry_Master!E:E,NOT FOUND,0)</f>
        <v>699.98</v>
      </c>
      <c r="I792" s="2">
        <f t="shared" si="37"/>
        <v>46113</v>
      </c>
      <c r="J792" t="str">
        <f t="shared" si="38"/>
        <v>Apr 2026</v>
      </c>
    </row>
    <row r="793" spans="1:10" x14ac:dyDescent="0.3">
      <c r="A793" t="s">
        <v>1242</v>
      </c>
      <c r="B793" t="s">
        <v>225</v>
      </c>
      <c r="C793" t="s">
        <v>26</v>
      </c>
      <c r="D793" s="5">
        <v>3</v>
      </c>
      <c r="E793" t="s">
        <v>1308</v>
      </c>
      <c r="F793" t="s">
        <v>92</v>
      </c>
      <c r="G793" s="2">
        <f t="shared" si="36"/>
        <v>46146</v>
      </c>
      <c r="H793" cm="1">
        <f t="array" ref="H793">D793*_xlfn.XLOOKUP(C793,Clean_Inventry_Master!A:A,Clean_Inventry_Master!E:E,NOT FOUND,0)</f>
        <v>269.96999999999997</v>
      </c>
      <c r="I793" s="2">
        <f t="shared" si="37"/>
        <v>46143</v>
      </c>
      <c r="J793" t="str">
        <f t="shared" si="38"/>
        <v>May 2026</v>
      </c>
    </row>
    <row r="794" spans="1:10" x14ac:dyDescent="0.3">
      <c r="A794" t="s">
        <v>1243</v>
      </c>
      <c r="B794" t="s">
        <v>658</v>
      </c>
      <c r="C794" t="s">
        <v>18</v>
      </c>
      <c r="D794" s="5">
        <v>11</v>
      </c>
      <c r="E794" t="s">
        <v>82</v>
      </c>
      <c r="F794" t="s">
        <v>78</v>
      </c>
      <c r="G794" s="2">
        <f t="shared" si="36"/>
        <v>46147</v>
      </c>
      <c r="H794" cm="1">
        <f t="array" ref="H794">D794*_xlfn.XLOOKUP(C794,Clean_Inventry_Master!A:A,Clean_Inventry_Master!E:E,NOT FOUND,0)</f>
        <v>769.89</v>
      </c>
      <c r="I794" s="2">
        <f t="shared" si="37"/>
        <v>46143</v>
      </c>
      <c r="J794" t="str">
        <f t="shared" si="38"/>
        <v>May 2026</v>
      </c>
    </row>
    <row r="795" spans="1:10" x14ac:dyDescent="0.3">
      <c r="A795" t="s">
        <v>1244</v>
      </c>
      <c r="B795" t="s">
        <v>783</v>
      </c>
      <c r="C795" t="s">
        <v>37</v>
      </c>
      <c r="D795" s="5">
        <v>4</v>
      </c>
      <c r="E795" t="s">
        <v>91</v>
      </c>
      <c r="F795" t="s">
        <v>78</v>
      </c>
      <c r="G795" s="2">
        <f t="shared" si="36"/>
        <v>46250</v>
      </c>
      <c r="H795" cm="1">
        <f t="array" ref="H795">D795*_xlfn.XLOOKUP(C795,Clean_Inventry_Master!A:A,Clean_Inventry_Master!E:E,NOT FOUND,0)</f>
        <v>180</v>
      </c>
      <c r="I795" s="2">
        <f t="shared" si="37"/>
        <v>46235</v>
      </c>
      <c r="J795" t="str">
        <f t="shared" si="38"/>
        <v>Aug 2026</v>
      </c>
    </row>
    <row r="796" spans="1:10" x14ac:dyDescent="0.3">
      <c r="A796" t="s">
        <v>1245</v>
      </c>
      <c r="B796" t="s">
        <v>94</v>
      </c>
      <c r="C796" t="s">
        <v>35</v>
      </c>
      <c r="D796" s="5">
        <v>12</v>
      </c>
      <c r="E796" t="s">
        <v>91</v>
      </c>
      <c r="F796" t="s">
        <v>92</v>
      </c>
      <c r="G796" s="2">
        <f t="shared" si="36"/>
        <v>46281</v>
      </c>
      <c r="H796" cm="1">
        <f t="array" ref="H796">D796*_xlfn.XLOOKUP(C796,Clean_Inventry_Master!A:A,Clean_Inventry_Master!E:E,NOT FOUND,0)</f>
        <v>119.88</v>
      </c>
      <c r="I796" s="2">
        <f t="shared" si="37"/>
        <v>46266</v>
      </c>
      <c r="J796" t="str">
        <f t="shared" si="38"/>
        <v>Sep 2026</v>
      </c>
    </row>
    <row r="797" spans="1:10" x14ac:dyDescent="0.3">
      <c r="A797" t="s">
        <v>1247</v>
      </c>
      <c r="B797" t="s">
        <v>1248</v>
      </c>
      <c r="C797" t="s">
        <v>37</v>
      </c>
      <c r="D797" s="5">
        <v>9</v>
      </c>
      <c r="E797" t="s">
        <v>82</v>
      </c>
      <c r="F797" t="s">
        <v>78</v>
      </c>
      <c r="G797" s="2">
        <f t="shared" si="36"/>
        <v>46290</v>
      </c>
      <c r="H797" cm="1">
        <f t="array" ref="H797">D797*_xlfn.XLOOKUP(C797,Clean_Inventry_Master!A:A,Clean_Inventry_Master!E:E,NOT FOUND,0)</f>
        <v>405</v>
      </c>
      <c r="I797" s="2">
        <f t="shared" si="37"/>
        <v>46266</v>
      </c>
      <c r="J797" t="str">
        <f t="shared" si="38"/>
        <v>Sep 2026</v>
      </c>
    </row>
    <row r="798" spans="1:10" x14ac:dyDescent="0.3">
      <c r="A798" t="s">
        <v>1249</v>
      </c>
      <c r="B798" t="s">
        <v>374</v>
      </c>
      <c r="C798" t="s">
        <v>39</v>
      </c>
      <c r="D798" s="5">
        <v>10</v>
      </c>
      <c r="E798" t="s">
        <v>77</v>
      </c>
      <c r="F798" t="s">
        <v>78</v>
      </c>
      <c r="G798" s="2">
        <f t="shared" si="36"/>
        <v>46236</v>
      </c>
      <c r="H798" cm="1">
        <f t="array" ref="H798">D798*_xlfn.XLOOKUP(C798,Clean_Inventry_Master!A:A,Clean_Inventry_Master!E:E,NOT FOUND,0)</f>
        <v>219.89999999999998</v>
      </c>
      <c r="I798" s="2">
        <f t="shared" si="37"/>
        <v>46235</v>
      </c>
      <c r="J798" t="str">
        <f t="shared" si="38"/>
        <v>Aug 2026</v>
      </c>
    </row>
    <row r="799" spans="1:10" x14ac:dyDescent="0.3">
      <c r="A799" t="s">
        <v>1250</v>
      </c>
      <c r="B799" t="s">
        <v>512</v>
      </c>
      <c r="C799" t="s">
        <v>58</v>
      </c>
      <c r="D799" s="5">
        <v>5</v>
      </c>
      <c r="E799" t="s">
        <v>1308</v>
      </c>
      <c r="F799" t="s">
        <v>83</v>
      </c>
      <c r="G799" s="2">
        <f t="shared" si="36"/>
        <v>46292</v>
      </c>
      <c r="H799" cm="1">
        <f t="array" ref="H799">D799*_xlfn.XLOOKUP(C799,Clean_Inventry_Master!A:A,Clean_Inventry_Master!E:E,NOT FOUND,0)</f>
        <v>299.95</v>
      </c>
      <c r="I799" s="2">
        <f t="shared" si="37"/>
        <v>46266</v>
      </c>
      <c r="J799" t="str">
        <f t="shared" si="38"/>
        <v>Sep 2026</v>
      </c>
    </row>
    <row r="800" spans="1:10" x14ac:dyDescent="0.3">
      <c r="A800" t="s">
        <v>1251</v>
      </c>
      <c r="B800" t="s">
        <v>167</v>
      </c>
      <c r="C800" t="s">
        <v>58</v>
      </c>
      <c r="D800" s="5">
        <v>14</v>
      </c>
      <c r="E800" t="s">
        <v>77</v>
      </c>
      <c r="F800" t="s">
        <v>83</v>
      </c>
      <c r="G800" s="2">
        <f t="shared" si="36"/>
        <v>46272</v>
      </c>
      <c r="H800" cm="1">
        <f t="array" ref="H800">D800*_xlfn.XLOOKUP(C800,Clean_Inventry_Master!A:A,Clean_Inventry_Master!E:E,NOT FOUND,0)</f>
        <v>839.86</v>
      </c>
      <c r="I800" s="2">
        <f t="shared" si="37"/>
        <v>46266</v>
      </c>
      <c r="J800" t="str">
        <f t="shared" si="38"/>
        <v>Sep 2026</v>
      </c>
    </row>
    <row r="801" spans="1:10" x14ac:dyDescent="0.3">
      <c r="A801" t="s">
        <v>1252</v>
      </c>
      <c r="B801" t="s">
        <v>104</v>
      </c>
      <c r="C801" t="s">
        <v>64</v>
      </c>
      <c r="D801" s="5">
        <v>13</v>
      </c>
      <c r="E801" t="s">
        <v>1308</v>
      </c>
      <c r="F801" t="s">
        <v>83</v>
      </c>
      <c r="G801" s="2">
        <f t="shared" si="36"/>
        <v>46275</v>
      </c>
      <c r="H801" cm="1">
        <f t="array" ref="H801">D801*_xlfn.XLOOKUP(C801,Clean_Inventry_Master!A:A,Clean_Inventry_Master!E:E,NOT FOUND,0)</f>
        <v>259.87</v>
      </c>
      <c r="I801" s="2">
        <f t="shared" si="37"/>
        <v>46266</v>
      </c>
      <c r="J801" t="str">
        <f t="shared" si="38"/>
        <v>Sep 2026</v>
      </c>
    </row>
    <row r="802" spans="1:10" x14ac:dyDescent="0.3">
      <c r="A802" t="s">
        <v>1253</v>
      </c>
      <c r="B802" t="s">
        <v>499</v>
      </c>
      <c r="C802" t="s">
        <v>39</v>
      </c>
      <c r="D802" s="5">
        <v>10</v>
      </c>
      <c r="E802" t="s">
        <v>1308</v>
      </c>
      <c r="F802" t="s">
        <v>92</v>
      </c>
      <c r="G802" s="2">
        <f t="shared" si="36"/>
        <v>46133</v>
      </c>
      <c r="H802" cm="1">
        <f t="array" ref="H802">D802*_xlfn.XLOOKUP(C802,Clean_Inventry_Master!A:A,Clean_Inventry_Master!E:E,NOT FOUND,0)</f>
        <v>219.89999999999998</v>
      </c>
      <c r="I802" s="2">
        <f t="shared" si="37"/>
        <v>46113</v>
      </c>
      <c r="J802" t="str">
        <f t="shared" si="38"/>
        <v>Apr 2026</v>
      </c>
    </row>
    <row r="803" spans="1:10" x14ac:dyDescent="0.3">
      <c r="A803" t="s">
        <v>1254</v>
      </c>
      <c r="B803" t="s">
        <v>1255</v>
      </c>
      <c r="C803" t="s">
        <v>33</v>
      </c>
      <c r="D803" s="5">
        <v>12</v>
      </c>
      <c r="E803" t="s">
        <v>91</v>
      </c>
      <c r="F803" t="s">
        <v>92</v>
      </c>
      <c r="G803" s="2">
        <f t="shared" si="36"/>
        <v>46258</v>
      </c>
      <c r="H803" cm="1">
        <f t="array" ref="H803">D803*_xlfn.XLOOKUP(C803,Clean_Inventry_Master!A:A,Clean_Inventry_Master!E:E,NOT FOUND,0)</f>
        <v>288</v>
      </c>
      <c r="I803" s="2">
        <f t="shared" si="37"/>
        <v>46235</v>
      </c>
      <c r="J803" t="str">
        <f t="shared" si="38"/>
        <v>Aug 2026</v>
      </c>
    </row>
    <row r="804" spans="1:10" x14ac:dyDescent="0.3">
      <c r="A804" t="s">
        <v>1256</v>
      </c>
      <c r="B804" t="s">
        <v>794</v>
      </c>
      <c r="C804" t="s">
        <v>39</v>
      </c>
      <c r="D804" s="5">
        <v>6</v>
      </c>
      <c r="E804" t="s">
        <v>77</v>
      </c>
      <c r="F804" t="s">
        <v>78</v>
      </c>
      <c r="G804" s="2">
        <f t="shared" si="36"/>
        <v>46045</v>
      </c>
      <c r="H804" cm="1">
        <f t="array" ref="H804">D804*_xlfn.XLOOKUP(C804,Clean_Inventry_Master!A:A,Clean_Inventry_Master!E:E,NOT FOUND,0)</f>
        <v>131.94</v>
      </c>
      <c r="I804" s="2">
        <f t="shared" si="37"/>
        <v>46023</v>
      </c>
      <c r="J804" t="str">
        <f t="shared" si="38"/>
        <v>Jan 2026</v>
      </c>
    </row>
    <row r="805" spans="1:10" x14ac:dyDescent="0.3">
      <c r="A805" t="s">
        <v>1257</v>
      </c>
      <c r="B805" t="s">
        <v>1258</v>
      </c>
      <c r="C805" t="s">
        <v>52</v>
      </c>
      <c r="D805" s="5">
        <v>1</v>
      </c>
      <c r="E805" t="s">
        <v>77</v>
      </c>
      <c r="F805" t="s">
        <v>78</v>
      </c>
      <c r="G805" s="2">
        <f t="shared" si="36"/>
        <v>46203</v>
      </c>
      <c r="H805" cm="1">
        <f t="array" ref="H805">D805*_xlfn.XLOOKUP(C805,Clean_Inventry_Master!A:A,Clean_Inventry_Master!E:E,NOT FOUND,0)</f>
        <v>29.99</v>
      </c>
      <c r="I805" s="2">
        <f t="shared" si="37"/>
        <v>46174</v>
      </c>
      <c r="J805" t="str">
        <f t="shared" si="38"/>
        <v>Jun 2026</v>
      </c>
    </row>
    <row r="806" spans="1:10" x14ac:dyDescent="0.3">
      <c r="A806" t="s">
        <v>1259</v>
      </c>
      <c r="B806" t="s">
        <v>625</v>
      </c>
      <c r="C806" t="s">
        <v>41</v>
      </c>
      <c r="D806" s="5">
        <v>8</v>
      </c>
      <c r="E806" t="s">
        <v>1308</v>
      </c>
      <c r="F806" t="s">
        <v>83</v>
      </c>
      <c r="G806" s="2">
        <f t="shared" si="36"/>
        <v>46032</v>
      </c>
      <c r="H806" cm="1">
        <f t="array" ref="H806">D806*_xlfn.XLOOKUP(C806,Clean_Inventry_Master!A:A,Clean_Inventry_Master!E:E,NOT FOUND,0)</f>
        <v>319.92</v>
      </c>
      <c r="I806" s="2">
        <f t="shared" si="37"/>
        <v>46023</v>
      </c>
      <c r="J806" t="str">
        <f t="shared" si="38"/>
        <v>Jan 2026</v>
      </c>
    </row>
    <row r="807" spans="1:10" x14ac:dyDescent="0.3">
      <c r="A807" t="s">
        <v>1260</v>
      </c>
      <c r="B807" t="s">
        <v>80</v>
      </c>
      <c r="C807" t="s">
        <v>52</v>
      </c>
      <c r="D807" s="5">
        <v>8</v>
      </c>
      <c r="E807" t="s">
        <v>1308</v>
      </c>
      <c r="F807" t="s">
        <v>78</v>
      </c>
      <c r="G807" s="2">
        <f t="shared" si="36"/>
        <v>46266</v>
      </c>
      <c r="H807" cm="1">
        <f t="array" ref="H807">D807*_xlfn.XLOOKUP(C807,Clean_Inventry_Master!A:A,Clean_Inventry_Master!E:E,NOT FOUND,0)</f>
        <v>239.92</v>
      </c>
      <c r="I807" s="2">
        <f t="shared" si="37"/>
        <v>46266</v>
      </c>
      <c r="J807" t="str">
        <f t="shared" si="38"/>
        <v>Sep 2026</v>
      </c>
    </row>
    <row r="808" spans="1:10" x14ac:dyDescent="0.3">
      <c r="A808" t="s">
        <v>1261</v>
      </c>
      <c r="B808" t="s">
        <v>660</v>
      </c>
      <c r="C808" t="s">
        <v>18</v>
      </c>
      <c r="D808" s="5">
        <v>1</v>
      </c>
      <c r="E808" t="s">
        <v>82</v>
      </c>
      <c r="F808" t="s">
        <v>92</v>
      </c>
      <c r="G808" s="2">
        <f t="shared" si="36"/>
        <v>46107</v>
      </c>
      <c r="H808" cm="1">
        <f t="array" ref="H808">D808*_xlfn.XLOOKUP(C808,Clean_Inventry_Master!A:A,Clean_Inventry_Master!E:E,NOT FOUND,0)</f>
        <v>69.989999999999995</v>
      </c>
      <c r="I808" s="2">
        <f t="shared" si="37"/>
        <v>46082</v>
      </c>
      <c r="J808" t="str">
        <f t="shared" si="38"/>
        <v>Mar 2026</v>
      </c>
    </row>
    <row r="809" spans="1:10" x14ac:dyDescent="0.3">
      <c r="A809" t="s">
        <v>1262</v>
      </c>
      <c r="B809" t="s">
        <v>830</v>
      </c>
      <c r="C809" t="s">
        <v>66</v>
      </c>
      <c r="D809" s="5">
        <v>3</v>
      </c>
      <c r="E809" t="s">
        <v>82</v>
      </c>
      <c r="F809" t="s">
        <v>78</v>
      </c>
      <c r="G809" s="2">
        <f t="shared" si="36"/>
        <v>46131</v>
      </c>
      <c r="H809" cm="1">
        <f t="array" ref="H809">D809*_xlfn.XLOOKUP(C809,Clean_Inventry_Master!A:A,Clean_Inventry_Master!E:E,NOT FOUND,0)</f>
        <v>104.97</v>
      </c>
      <c r="I809" s="2">
        <f t="shared" si="37"/>
        <v>46113</v>
      </c>
      <c r="J809" t="str">
        <f t="shared" si="38"/>
        <v>Apr 2026</v>
      </c>
    </row>
    <row r="810" spans="1:10" x14ac:dyDescent="0.3">
      <c r="A810" t="s">
        <v>1263</v>
      </c>
      <c r="B810" t="s">
        <v>996</v>
      </c>
      <c r="C810" t="s">
        <v>43</v>
      </c>
      <c r="D810" s="5">
        <v>13</v>
      </c>
      <c r="E810" t="s">
        <v>82</v>
      </c>
      <c r="F810" t="s">
        <v>83</v>
      </c>
      <c r="G810" s="2">
        <f t="shared" si="36"/>
        <v>46095</v>
      </c>
      <c r="H810" cm="1">
        <f t="array" ref="H810">D810*_xlfn.XLOOKUP(C810,Clean_Inventry_Master!A:A,Clean_Inventry_Master!E:E,NOT FOUND,0)</f>
        <v>110.5</v>
      </c>
      <c r="I810" s="2">
        <f t="shared" si="37"/>
        <v>46082</v>
      </c>
      <c r="J810" t="str">
        <f t="shared" si="38"/>
        <v>Mar 2026</v>
      </c>
    </row>
    <row r="811" spans="1:10" x14ac:dyDescent="0.3">
      <c r="A811" t="s">
        <v>1264</v>
      </c>
      <c r="B811" t="s">
        <v>1222</v>
      </c>
      <c r="C811" t="s">
        <v>60</v>
      </c>
      <c r="D811" s="5">
        <v>5</v>
      </c>
      <c r="E811" t="s">
        <v>1308</v>
      </c>
      <c r="F811" t="s">
        <v>92</v>
      </c>
      <c r="G811" s="2">
        <f t="shared" si="36"/>
        <v>46129</v>
      </c>
      <c r="H811" cm="1">
        <f t="array" ref="H811">D811*_xlfn.XLOOKUP(C811,Clean_Inventry_Master!A:A,Clean_Inventry_Master!E:E,NOT FOUND,0)</f>
        <v>449.95</v>
      </c>
      <c r="I811" s="2">
        <f t="shared" si="37"/>
        <v>46113</v>
      </c>
      <c r="J811" t="str">
        <f t="shared" si="38"/>
        <v>Apr 2026</v>
      </c>
    </row>
    <row r="812" spans="1:10" x14ac:dyDescent="0.3">
      <c r="A812" t="s">
        <v>1265</v>
      </c>
      <c r="B812" t="s">
        <v>104</v>
      </c>
      <c r="C812" t="s">
        <v>43</v>
      </c>
      <c r="D812" s="5">
        <v>10</v>
      </c>
      <c r="E812" t="s">
        <v>82</v>
      </c>
      <c r="F812" t="s">
        <v>83</v>
      </c>
      <c r="G812" s="2">
        <f t="shared" si="36"/>
        <v>46275</v>
      </c>
      <c r="H812" cm="1">
        <f t="array" ref="H812">D812*_xlfn.XLOOKUP(C812,Clean_Inventry_Master!A:A,Clean_Inventry_Master!E:E,NOT FOUND,0)</f>
        <v>85</v>
      </c>
      <c r="I812" s="2">
        <f t="shared" si="37"/>
        <v>46266</v>
      </c>
      <c r="J812" t="str">
        <f t="shared" si="38"/>
        <v>Sep 2026</v>
      </c>
    </row>
    <row r="813" spans="1:10" x14ac:dyDescent="0.3">
      <c r="A813" t="s">
        <v>1266</v>
      </c>
      <c r="B813" t="s">
        <v>502</v>
      </c>
      <c r="C813" t="s">
        <v>64</v>
      </c>
      <c r="D813" s="5">
        <v>13</v>
      </c>
      <c r="E813" t="s">
        <v>1308</v>
      </c>
      <c r="F813" t="s">
        <v>78</v>
      </c>
      <c r="G813" s="2">
        <f t="shared" si="36"/>
        <v>46240</v>
      </c>
      <c r="H813" cm="1">
        <f t="array" ref="H813">D813*_xlfn.XLOOKUP(C813,Clean_Inventry_Master!A:A,Clean_Inventry_Master!E:E,NOT FOUND,0)</f>
        <v>259.87</v>
      </c>
      <c r="I813" s="2">
        <f t="shared" si="37"/>
        <v>46235</v>
      </c>
      <c r="J813" t="str">
        <f t="shared" si="38"/>
        <v>Aug 2026</v>
      </c>
    </row>
    <row r="814" spans="1:10" x14ac:dyDescent="0.3">
      <c r="A814" t="s">
        <v>1267</v>
      </c>
      <c r="B814" t="s">
        <v>668</v>
      </c>
      <c r="C814" t="s">
        <v>24</v>
      </c>
      <c r="D814" s="5">
        <v>2</v>
      </c>
      <c r="E814" t="s">
        <v>82</v>
      </c>
      <c r="F814" t="s">
        <v>83</v>
      </c>
      <c r="G814" s="2">
        <f t="shared" si="36"/>
        <v>46219</v>
      </c>
      <c r="H814" cm="1">
        <f t="array" ref="H814">D814*_xlfn.XLOOKUP(C814,Clean_Inventry_Master!A:A,Clean_Inventry_Master!E:E,NOT FOUND,0)</f>
        <v>279.98</v>
      </c>
      <c r="I814" s="2">
        <f t="shared" si="37"/>
        <v>46204</v>
      </c>
      <c r="J814" t="str">
        <f t="shared" si="38"/>
        <v>Jul 2026</v>
      </c>
    </row>
    <row r="815" spans="1:10" x14ac:dyDescent="0.3">
      <c r="A815" t="s">
        <v>1268</v>
      </c>
      <c r="B815" t="s">
        <v>1269</v>
      </c>
      <c r="C815" t="s">
        <v>64</v>
      </c>
      <c r="D815" s="5">
        <v>3</v>
      </c>
      <c r="E815" t="s">
        <v>1308</v>
      </c>
      <c r="F815" t="s">
        <v>78</v>
      </c>
      <c r="G815" s="2">
        <f t="shared" si="36"/>
        <v>46181</v>
      </c>
      <c r="H815" cm="1">
        <f t="array" ref="H815">D815*_xlfn.XLOOKUP(C815,Clean_Inventry_Master!A:A,Clean_Inventry_Master!E:E,NOT FOUND,0)</f>
        <v>59.97</v>
      </c>
      <c r="I815" s="2">
        <f t="shared" si="37"/>
        <v>46174</v>
      </c>
      <c r="J815" t="str">
        <f t="shared" si="38"/>
        <v>Jun 2026</v>
      </c>
    </row>
    <row r="816" spans="1:10" x14ac:dyDescent="0.3">
      <c r="A816" t="s">
        <v>1270</v>
      </c>
      <c r="B816" t="s">
        <v>370</v>
      </c>
      <c r="C816" t="s">
        <v>7</v>
      </c>
      <c r="D816" s="5">
        <v>4</v>
      </c>
      <c r="E816" t="s">
        <v>77</v>
      </c>
      <c r="F816" t="s">
        <v>83</v>
      </c>
      <c r="G816" s="2">
        <f t="shared" si="36"/>
        <v>46159</v>
      </c>
      <c r="H816" cm="1">
        <f t="array" ref="H816">D816*_xlfn.XLOOKUP(C816,Clean_Inventry_Master!A:A,Clean_Inventry_Master!E:E,NOT FOUND,0)</f>
        <v>180</v>
      </c>
      <c r="I816" s="2">
        <f t="shared" si="37"/>
        <v>46143</v>
      </c>
      <c r="J816" t="str">
        <f t="shared" si="38"/>
        <v>May 2026</v>
      </c>
    </row>
    <row r="817" spans="1:10" x14ac:dyDescent="0.3">
      <c r="A817" t="s">
        <v>1271</v>
      </c>
      <c r="B817" t="s">
        <v>401</v>
      </c>
      <c r="C817" t="s">
        <v>43</v>
      </c>
      <c r="D817" s="5">
        <v>9</v>
      </c>
      <c r="E817" t="s">
        <v>82</v>
      </c>
      <c r="F817" t="s">
        <v>78</v>
      </c>
      <c r="G817" s="2">
        <f t="shared" si="36"/>
        <v>46037</v>
      </c>
      <c r="H817" cm="1">
        <f t="array" ref="H817">D817*_xlfn.XLOOKUP(C817,Clean_Inventry_Master!A:A,Clean_Inventry_Master!E:E,NOT FOUND,0)</f>
        <v>76.5</v>
      </c>
      <c r="I817" s="2">
        <f t="shared" si="37"/>
        <v>46023</v>
      </c>
      <c r="J817" t="str">
        <f t="shared" si="38"/>
        <v>Jan 2026</v>
      </c>
    </row>
    <row r="818" spans="1:10" x14ac:dyDescent="0.3">
      <c r="A818" t="s">
        <v>1272</v>
      </c>
      <c r="B818" t="s">
        <v>846</v>
      </c>
      <c r="C818" t="s">
        <v>26</v>
      </c>
      <c r="D818" s="5">
        <v>11</v>
      </c>
      <c r="E818" t="s">
        <v>91</v>
      </c>
      <c r="F818" t="s">
        <v>78</v>
      </c>
      <c r="G818" s="2">
        <f t="shared" si="36"/>
        <v>46100</v>
      </c>
      <c r="H818" cm="1">
        <f t="array" ref="H818">D818*_xlfn.XLOOKUP(C818,Clean_Inventry_Master!A:A,Clean_Inventry_Master!E:E,NOT FOUND,0)</f>
        <v>989.89</v>
      </c>
      <c r="I818" s="2">
        <f t="shared" si="37"/>
        <v>46082</v>
      </c>
      <c r="J818" t="str">
        <f t="shared" si="38"/>
        <v>Mar 2026</v>
      </c>
    </row>
    <row r="819" spans="1:10" x14ac:dyDescent="0.3">
      <c r="A819" t="s">
        <v>1273</v>
      </c>
      <c r="B819" t="s">
        <v>118</v>
      </c>
      <c r="C819" t="s">
        <v>39</v>
      </c>
      <c r="D819" s="5">
        <v>10</v>
      </c>
      <c r="E819" t="s">
        <v>82</v>
      </c>
      <c r="F819" t="s">
        <v>92</v>
      </c>
      <c r="G819" s="2">
        <f t="shared" si="36"/>
        <v>46209</v>
      </c>
      <c r="H819" cm="1">
        <f t="array" ref="H819">D819*_xlfn.XLOOKUP(C819,Clean_Inventry_Master!A:A,Clean_Inventry_Master!E:E,NOT FOUND,0)</f>
        <v>219.89999999999998</v>
      </c>
      <c r="I819" s="2">
        <f t="shared" si="37"/>
        <v>46204</v>
      </c>
      <c r="J819" t="str">
        <f t="shared" si="38"/>
        <v>Jul 2026</v>
      </c>
    </row>
    <row r="820" spans="1:10" x14ac:dyDescent="0.3">
      <c r="A820" t="s">
        <v>1274</v>
      </c>
      <c r="B820" t="s">
        <v>102</v>
      </c>
      <c r="C820" t="s">
        <v>24</v>
      </c>
      <c r="D820" s="5">
        <v>7</v>
      </c>
      <c r="E820" t="s">
        <v>91</v>
      </c>
      <c r="F820" t="s">
        <v>83</v>
      </c>
      <c r="G820" s="2">
        <f t="shared" si="36"/>
        <v>46252</v>
      </c>
      <c r="H820" cm="1">
        <f t="array" ref="H820">D820*_xlfn.XLOOKUP(C820,Clean_Inventry_Master!A:A,Clean_Inventry_Master!E:E,NOT FOUND,0)</f>
        <v>979.93000000000006</v>
      </c>
      <c r="I820" s="2">
        <f t="shared" si="37"/>
        <v>46235</v>
      </c>
      <c r="J820" t="str">
        <f t="shared" si="38"/>
        <v>Aug 2026</v>
      </c>
    </row>
    <row r="821" spans="1:10" x14ac:dyDescent="0.3">
      <c r="A821" t="s">
        <v>1275</v>
      </c>
      <c r="B821" t="s">
        <v>652</v>
      </c>
      <c r="C821" t="s">
        <v>24</v>
      </c>
      <c r="D821" s="5">
        <v>4</v>
      </c>
      <c r="E821" t="s">
        <v>91</v>
      </c>
      <c r="F821" t="s">
        <v>83</v>
      </c>
      <c r="G821" s="2">
        <f t="shared" si="36"/>
        <v>46301</v>
      </c>
      <c r="H821" cm="1">
        <f t="array" ref="H821">D821*_xlfn.XLOOKUP(C821,Clean_Inventry_Master!A:A,Clean_Inventry_Master!E:E,NOT FOUND,0)</f>
        <v>559.96</v>
      </c>
      <c r="I821" s="2">
        <f t="shared" si="37"/>
        <v>46296</v>
      </c>
      <c r="J821" t="str">
        <f t="shared" si="38"/>
        <v>Oct 2026</v>
      </c>
    </row>
    <row r="822" spans="1:10" x14ac:dyDescent="0.3">
      <c r="A822" t="s">
        <v>1276</v>
      </c>
      <c r="B822" t="s">
        <v>1157</v>
      </c>
      <c r="C822" t="s">
        <v>47</v>
      </c>
      <c r="D822" s="5">
        <v>9</v>
      </c>
      <c r="E822" t="s">
        <v>1308</v>
      </c>
      <c r="F822" t="s">
        <v>78</v>
      </c>
      <c r="G822" s="2">
        <f t="shared" si="36"/>
        <v>46023</v>
      </c>
      <c r="H822" cm="1">
        <f t="array" ref="H822">D822*_xlfn.XLOOKUP(C822,Clean_Inventry_Master!A:A,Clean_Inventry_Master!E:E,NOT FOUND,0)</f>
        <v>1169.9100000000001</v>
      </c>
      <c r="I822" s="2">
        <f t="shared" si="37"/>
        <v>46023</v>
      </c>
      <c r="J822" t="str">
        <f t="shared" si="38"/>
        <v>Jan 2026</v>
      </c>
    </row>
    <row r="823" spans="1:10" x14ac:dyDescent="0.3">
      <c r="A823" t="s">
        <v>1277</v>
      </c>
      <c r="B823" t="s">
        <v>408</v>
      </c>
      <c r="C823" t="s">
        <v>35</v>
      </c>
      <c r="D823" s="5">
        <v>3</v>
      </c>
      <c r="E823" t="s">
        <v>91</v>
      </c>
      <c r="F823" t="s">
        <v>78</v>
      </c>
      <c r="G823" s="2">
        <f t="shared" si="36"/>
        <v>46138</v>
      </c>
      <c r="H823" cm="1">
        <f t="array" ref="H823">D823*_xlfn.XLOOKUP(C823,Clean_Inventry_Master!A:A,Clean_Inventry_Master!E:E,NOT FOUND,0)</f>
        <v>29.97</v>
      </c>
      <c r="I823" s="2">
        <f t="shared" si="37"/>
        <v>46113</v>
      </c>
      <c r="J823" t="str">
        <f t="shared" si="38"/>
        <v>Apr 2026</v>
      </c>
    </row>
    <row r="824" spans="1:10" x14ac:dyDescent="0.3">
      <c r="A824" t="s">
        <v>1278</v>
      </c>
      <c r="B824" t="s">
        <v>309</v>
      </c>
      <c r="C824" t="s">
        <v>66</v>
      </c>
      <c r="D824" s="5">
        <v>5</v>
      </c>
      <c r="E824" t="s">
        <v>77</v>
      </c>
      <c r="F824" t="s">
        <v>78</v>
      </c>
      <c r="G824" s="2">
        <f t="shared" si="36"/>
        <v>46178</v>
      </c>
      <c r="H824" cm="1">
        <f t="array" ref="H824">D824*_xlfn.XLOOKUP(C824,Clean_Inventry_Master!A:A,Clean_Inventry_Master!E:E,NOT FOUND,0)</f>
        <v>174.95000000000002</v>
      </c>
      <c r="I824" s="2">
        <f t="shared" si="37"/>
        <v>46174</v>
      </c>
      <c r="J824" t="str">
        <f t="shared" si="38"/>
        <v>Jun 2026</v>
      </c>
    </row>
    <row r="825" spans="1:10" x14ac:dyDescent="0.3">
      <c r="A825" t="s">
        <v>1279</v>
      </c>
      <c r="B825" t="s">
        <v>192</v>
      </c>
      <c r="C825" t="s">
        <v>45</v>
      </c>
      <c r="D825" s="5">
        <v>1</v>
      </c>
      <c r="E825" t="s">
        <v>1308</v>
      </c>
      <c r="F825" t="s">
        <v>92</v>
      </c>
      <c r="G825" s="2">
        <f t="shared" si="36"/>
        <v>46224</v>
      </c>
      <c r="H825" cm="1">
        <f t="array" ref="H825">D825*_xlfn.XLOOKUP(C825,Clean_Inventry_Master!A:A,Clean_Inventry_Master!E:E,NOT FOUND,0)</f>
        <v>18.989999999999998</v>
      </c>
      <c r="I825" s="2">
        <f t="shared" si="37"/>
        <v>46204</v>
      </c>
      <c r="J825" t="str">
        <f t="shared" si="38"/>
        <v>Jul 2026</v>
      </c>
    </row>
    <row r="826" spans="1:10" x14ac:dyDescent="0.3">
      <c r="A826" t="s">
        <v>1280</v>
      </c>
      <c r="B826" t="s">
        <v>1027</v>
      </c>
      <c r="C826" t="s">
        <v>26</v>
      </c>
      <c r="D826" s="5">
        <v>7</v>
      </c>
      <c r="E826" t="s">
        <v>77</v>
      </c>
      <c r="F826" t="s">
        <v>78</v>
      </c>
      <c r="G826" s="2">
        <f t="shared" si="36"/>
        <v>46105</v>
      </c>
      <c r="H826" cm="1">
        <f t="array" ref="H826">D826*_xlfn.XLOOKUP(C826,Clean_Inventry_Master!A:A,Clean_Inventry_Master!E:E,NOT FOUND,0)</f>
        <v>629.92999999999995</v>
      </c>
      <c r="I826" s="2">
        <f t="shared" si="37"/>
        <v>46082</v>
      </c>
      <c r="J826" t="str">
        <f t="shared" si="38"/>
        <v>Mar 2026</v>
      </c>
    </row>
    <row r="827" spans="1:10" x14ac:dyDescent="0.3">
      <c r="A827" t="s">
        <v>1281</v>
      </c>
      <c r="B827" t="s">
        <v>852</v>
      </c>
      <c r="C827" t="s">
        <v>60</v>
      </c>
      <c r="D827" s="5">
        <v>3</v>
      </c>
      <c r="E827" t="s">
        <v>1308</v>
      </c>
      <c r="F827" t="s">
        <v>92</v>
      </c>
      <c r="G827" s="2">
        <f t="shared" si="36"/>
        <v>46284</v>
      </c>
      <c r="H827" cm="1">
        <f t="array" ref="H827">D827*_xlfn.XLOOKUP(C827,Clean_Inventry_Master!A:A,Clean_Inventry_Master!E:E,NOT FOUND,0)</f>
        <v>269.96999999999997</v>
      </c>
      <c r="I827" s="2">
        <f t="shared" si="37"/>
        <v>46266</v>
      </c>
      <c r="J827" t="str">
        <f t="shared" si="38"/>
        <v>Sep 2026</v>
      </c>
    </row>
    <row r="828" spans="1:10" x14ac:dyDescent="0.3">
      <c r="A828" t="s">
        <v>1282</v>
      </c>
      <c r="B828" t="s">
        <v>419</v>
      </c>
      <c r="C828" t="s">
        <v>47</v>
      </c>
      <c r="D828" s="5">
        <v>2</v>
      </c>
      <c r="E828" t="s">
        <v>91</v>
      </c>
      <c r="F828" t="s">
        <v>92</v>
      </c>
      <c r="G828" s="2">
        <f t="shared" si="36"/>
        <v>46114</v>
      </c>
      <c r="H828" cm="1">
        <f t="array" ref="H828">D828*_xlfn.XLOOKUP(C828,Clean_Inventry_Master!A:A,Clean_Inventry_Master!E:E,NOT FOUND,0)</f>
        <v>259.98</v>
      </c>
      <c r="I828" s="2">
        <f t="shared" si="37"/>
        <v>46113</v>
      </c>
      <c r="J828" t="str">
        <f t="shared" si="38"/>
        <v>Apr 2026</v>
      </c>
    </row>
    <row r="829" spans="1:10" x14ac:dyDescent="0.3">
      <c r="A829" t="s">
        <v>1283</v>
      </c>
      <c r="B829" t="s">
        <v>460</v>
      </c>
      <c r="C829" t="s">
        <v>47</v>
      </c>
      <c r="D829" s="5">
        <v>2</v>
      </c>
      <c r="E829" t="s">
        <v>77</v>
      </c>
      <c r="F829" t="s">
        <v>83</v>
      </c>
      <c r="G829" s="2">
        <f t="shared" si="36"/>
        <v>46289</v>
      </c>
      <c r="H829" cm="1">
        <f t="array" ref="H829">D829*_xlfn.XLOOKUP(C829,Clean_Inventry_Master!A:A,Clean_Inventry_Master!E:E,NOT FOUND,0)</f>
        <v>259.98</v>
      </c>
      <c r="I829" s="2">
        <f t="shared" si="37"/>
        <v>46266</v>
      </c>
      <c r="J829" t="str">
        <f t="shared" si="38"/>
        <v>Sep 2026</v>
      </c>
    </row>
    <row r="830" spans="1:10" x14ac:dyDescent="0.3">
      <c r="A830" t="s">
        <v>1284</v>
      </c>
      <c r="B830" t="s">
        <v>187</v>
      </c>
      <c r="C830" t="s">
        <v>41</v>
      </c>
      <c r="D830" s="5">
        <v>13</v>
      </c>
      <c r="E830" t="s">
        <v>77</v>
      </c>
      <c r="F830" t="s">
        <v>92</v>
      </c>
      <c r="G830" s="2">
        <f t="shared" si="36"/>
        <v>46121</v>
      </c>
      <c r="H830" cm="1">
        <f t="array" ref="H830">D830*_xlfn.XLOOKUP(C830,Clean_Inventry_Master!A:A,Clean_Inventry_Master!E:E,NOT FOUND,0)</f>
        <v>519.87</v>
      </c>
      <c r="I830" s="2">
        <f t="shared" si="37"/>
        <v>46113</v>
      </c>
      <c r="J830" t="str">
        <f t="shared" si="38"/>
        <v>Apr 2026</v>
      </c>
    </row>
    <row r="831" spans="1:10" x14ac:dyDescent="0.3">
      <c r="A831" t="s">
        <v>1285</v>
      </c>
      <c r="B831" t="s">
        <v>686</v>
      </c>
      <c r="C831" t="s">
        <v>39</v>
      </c>
      <c r="D831" s="5">
        <v>1</v>
      </c>
      <c r="E831" t="s">
        <v>1308</v>
      </c>
      <c r="F831" t="s">
        <v>83</v>
      </c>
      <c r="G831" s="2">
        <f t="shared" si="36"/>
        <v>46073</v>
      </c>
      <c r="H831" cm="1">
        <f t="array" ref="H831">D831*_xlfn.XLOOKUP(C831,Clean_Inventry_Master!A:A,Clean_Inventry_Master!E:E,NOT FOUND,0)</f>
        <v>21.99</v>
      </c>
      <c r="I831" s="2">
        <f t="shared" si="37"/>
        <v>46054</v>
      </c>
      <c r="J831" t="str">
        <f t="shared" si="38"/>
        <v>Feb 2026</v>
      </c>
    </row>
    <row r="832" spans="1:10" x14ac:dyDescent="0.3">
      <c r="A832" t="s">
        <v>1286</v>
      </c>
      <c r="B832" t="s">
        <v>205</v>
      </c>
      <c r="C832" t="s">
        <v>22</v>
      </c>
      <c r="D832" s="5">
        <v>13</v>
      </c>
      <c r="E832" t="s">
        <v>82</v>
      </c>
      <c r="F832" t="s">
        <v>78</v>
      </c>
      <c r="G832" s="2">
        <f t="shared" si="36"/>
        <v>46124</v>
      </c>
      <c r="H832" cm="1">
        <f t="array" ref="H832">D832*_xlfn.XLOOKUP(C832,Clean_Inventry_Master!A:A,Clean_Inventry_Master!E:E,NOT FOUND,0)</f>
        <v>1559.87</v>
      </c>
      <c r="I832" s="2">
        <f t="shared" si="37"/>
        <v>46113</v>
      </c>
      <c r="J832" t="str">
        <f t="shared" si="38"/>
        <v>Apr 2026</v>
      </c>
    </row>
    <row r="833" spans="1:10" x14ac:dyDescent="0.3">
      <c r="A833" t="s">
        <v>1287</v>
      </c>
      <c r="B833" t="s">
        <v>1269</v>
      </c>
      <c r="C833" t="s">
        <v>64</v>
      </c>
      <c r="D833" s="5">
        <v>4</v>
      </c>
      <c r="E833" t="s">
        <v>82</v>
      </c>
      <c r="F833" t="s">
        <v>92</v>
      </c>
      <c r="G833" s="2">
        <f t="shared" si="36"/>
        <v>46181</v>
      </c>
      <c r="H833" cm="1">
        <f t="array" ref="H833">D833*_xlfn.XLOOKUP(C833,Clean_Inventry_Master!A:A,Clean_Inventry_Master!E:E,NOT FOUND,0)</f>
        <v>79.959999999999994</v>
      </c>
      <c r="I833" s="2">
        <f t="shared" si="37"/>
        <v>46174</v>
      </c>
      <c r="J833" t="str">
        <f t="shared" si="38"/>
        <v>Jun 2026</v>
      </c>
    </row>
    <row r="834" spans="1:10" x14ac:dyDescent="0.3">
      <c r="A834" t="s">
        <v>1288</v>
      </c>
      <c r="B834" t="s">
        <v>115</v>
      </c>
      <c r="C834" t="s">
        <v>43</v>
      </c>
      <c r="D834" s="5">
        <v>7</v>
      </c>
      <c r="E834" t="s">
        <v>91</v>
      </c>
      <c r="F834" t="s">
        <v>83</v>
      </c>
      <c r="G834" s="2">
        <f t="shared" ref="G834:G851" si="39">IF(ISNUMBER(SEARCH("-", B834)), DATEVALUE(B834), DATE(RIGHT(B834,4), LEFT(B834, FIND("/", B834)-1), MID(B834, FIND("/", B834)+1, FIND("/", B834, FIND("/", B834)+1) - FIND("/", B834) - 1)))</f>
        <v>46127</v>
      </c>
      <c r="H834" cm="1">
        <f t="array" ref="H834">D834*_xlfn.XLOOKUP(C834,Clean_Inventry_Master!A:A,Clean_Inventry_Master!E:E,NOT FOUND,0)</f>
        <v>59.5</v>
      </c>
      <c r="I834" s="2">
        <f t="shared" ref="I834:I851" si="40">DATE(YEAR(G834),MONTH(G834),1)</f>
        <v>46113</v>
      </c>
      <c r="J834" t="str">
        <f t="shared" ref="J834:J851" si="41">TEXT(I834,"mmm yyyy")</f>
        <v>Apr 2026</v>
      </c>
    </row>
    <row r="835" spans="1:10" x14ac:dyDescent="0.3">
      <c r="A835" t="s">
        <v>1289</v>
      </c>
      <c r="B835" t="s">
        <v>551</v>
      </c>
      <c r="C835" t="s">
        <v>49</v>
      </c>
      <c r="D835" s="5">
        <v>8</v>
      </c>
      <c r="E835" t="s">
        <v>77</v>
      </c>
      <c r="F835" t="s">
        <v>83</v>
      </c>
      <c r="G835" s="2">
        <f t="shared" si="39"/>
        <v>46257</v>
      </c>
      <c r="H835" cm="1">
        <f t="array" ref="H835">D835*_xlfn.XLOOKUP(C835,Clean_Inventry_Master!A:A,Clean_Inventry_Master!E:E,NOT FOUND,0)</f>
        <v>399.92</v>
      </c>
      <c r="I835" s="2">
        <f t="shared" si="40"/>
        <v>46235</v>
      </c>
      <c r="J835" t="str">
        <f t="shared" si="41"/>
        <v>Aug 2026</v>
      </c>
    </row>
    <row r="836" spans="1:10" x14ac:dyDescent="0.3">
      <c r="A836" t="s">
        <v>1290</v>
      </c>
      <c r="B836" t="s">
        <v>248</v>
      </c>
      <c r="C836" t="s">
        <v>43</v>
      </c>
      <c r="D836" s="5">
        <v>10</v>
      </c>
      <c r="E836" t="s">
        <v>77</v>
      </c>
      <c r="F836" t="s">
        <v>78</v>
      </c>
      <c r="G836" s="2">
        <f t="shared" si="39"/>
        <v>46174</v>
      </c>
      <c r="H836" cm="1">
        <f t="array" ref="H836">D836*_xlfn.XLOOKUP(C836,Clean_Inventry_Master!A:A,Clean_Inventry_Master!E:E,NOT FOUND,0)</f>
        <v>85</v>
      </c>
      <c r="I836" s="2">
        <f t="shared" si="40"/>
        <v>46174</v>
      </c>
      <c r="J836" t="str">
        <f t="shared" si="41"/>
        <v>Jun 2026</v>
      </c>
    </row>
    <row r="837" spans="1:10" x14ac:dyDescent="0.3">
      <c r="A837" t="s">
        <v>1291</v>
      </c>
      <c r="B837" t="s">
        <v>431</v>
      </c>
      <c r="C837" t="s">
        <v>62</v>
      </c>
      <c r="D837" s="5">
        <v>8</v>
      </c>
      <c r="E837" t="s">
        <v>91</v>
      </c>
      <c r="F837" t="s">
        <v>78</v>
      </c>
      <c r="G837" s="2">
        <f t="shared" si="39"/>
        <v>46231</v>
      </c>
      <c r="H837" cm="1">
        <f t="array" ref="H837">D837*_xlfn.XLOOKUP(C837,Clean_Inventry_Master!A:A,Clean_Inventry_Master!E:E,NOT FOUND,0)</f>
        <v>220</v>
      </c>
      <c r="I837" s="2">
        <f t="shared" si="40"/>
        <v>46204</v>
      </c>
      <c r="J837" t="str">
        <f t="shared" si="41"/>
        <v>Jul 2026</v>
      </c>
    </row>
    <row r="838" spans="1:10" x14ac:dyDescent="0.3">
      <c r="A838" t="s">
        <v>1292</v>
      </c>
      <c r="B838" t="s">
        <v>593</v>
      </c>
      <c r="C838" t="s">
        <v>56</v>
      </c>
      <c r="D838" s="5">
        <v>10</v>
      </c>
      <c r="E838" t="s">
        <v>91</v>
      </c>
      <c r="F838" t="s">
        <v>78</v>
      </c>
      <c r="G838" s="2">
        <f t="shared" si="39"/>
        <v>46116</v>
      </c>
      <c r="H838" cm="1">
        <f t="array" ref="H838">D838*_xlfn.XLOOKUP(C838,Clean_Inventry_Master!A:A,Clean_Inventry_Master!E:E,NOT FOUND,0)</f>
        <v>299.89999999999998</v>
      </c>
      <c r="I838" s="2">
        <f t="shared" si="40"/>
        <v>46113</v>
      </c>
      <c r="J838" t="str">
        <f t="shared" si="41"/>
        <v>Apr 2026</v>
      </c>
    </row>
    <row r="839" spans="1:10" x14ac:dyDescent="0.3">
      <c r="A839" t="s">
        <v>1293</v>
      </c>
      <c r="B839" t="s">
        <v>1294</v>
      </c>
      <c r="C839" t="s">
        <v>35</v>
      </c>
      <c r="D839" s="5">
        <v>8</v>
      </c>
      <c r="E839" t="s">
        <v>1308</v>
      </c>
      <c r="F839" t="s">
        <v>92</v>
      </c>
      <c r="G839" s="2">
        <f t="shared" si="39"/>
        <v>46079</v>
      </c>
      <c r="H839" cm="1">
        <f t="array" ref="H839">D839*_xlfn.XLOOKUP(C839,Clean_Inventry_Master!A:A,Clean_Inventry_Master!E:E,NOT FOUND,0)</f>
        <v>79.92</v>
      </c>
      <c r="I839" s="2">
        <f t="shared" si="40"/>
        <v>46054</v>
      </c>
      <c r="J839" t="str">
        <f t="shared" si="41"/>
        <v>Feb 2026</v>
      </c>
    </row>
    <row r="840" spans="1:10" x14ac:dyDescent="0.3">
      <c r="A840" t="s">
        <v>1295</v>
      </c>
      <c r="B840" t="s">
        <v>917</v>
      </c>
      <c r="C840" t="s">
        <v>60</v>
      </c>
      <c r="D840" s="5">
        <v>7</v>
      </c>
      <c r="E840" t="s">
        <v>77</v>
      </c>
      <c r="F840" t="s">
        <v>83</v>
      </c>
      <c r="G840" s="2">
        <f t="shared" si="39"/>
        <v>46165</v>
      </c>
      <c r="H840" cm="1">
        <f t="array" ref="H840">D840*_xlfn.XLOOKUP(C840,Clean_Inventry_Master!A:A,Clean_Inventry_Master!E:E,NOT FOUND,0)</f>
        <v>629.92999999999995</v>
      </c>
      <c r="I840" s="2">
        <f t="shared" si="40"/>
        <v>46143</v>
      </c>
      <c r="J840" t="str">
        <f t="shared" si="41"/>
        <v>May 2026</v>
      </c>
    </row>
    <row r="841" spans="1:10" x14ac:dyDescent="0.3">
      <c r="A841" t="s">
        <v>1296</v>
      </c>
      <c r="B841" t="s">
        <v>175</v>
      </c>
      <c r="C841" t="s">
        <v>14</v>
      </c>
      <c r="D841" s="5">
        <v>14</v>
      </c>
      <c r="E841" t="s">
        <v>1308</v>
      </c>
      <c r="F841" t="s">
        <v>83</v>
      </c>
      <c r="G841" s="2">
        <f t="shared" si="39"/>
        <v>46175</v>
      </c>
      <c r="H841" cm="1">
        <f t="array" ref="H841">D841*_xlfn.XLOOKUP(C841,Clean_Inventry_Master!A:A,Clean_Inventry_Master!E:E,NOT FOUND,0)</f>
        <v>490</v>
      </c>
      <c r="I841" s="2">
        <f t="shared" si="40"/>
        <v>46174</v>
      </c>
      <c r="J841" t="str">
        <f t="shared" si="41"/>
        <v>Jun 2026</v>
      </c>
    </row>
    <row r="842" spans="1:10" x14ac:dyDescent="0.3">
      <c r="A842" t="s">
        <v>1297</v>
      </c>
      <c r="B842" t="s">
        <v>406</v>
      </c>
      <c r="C842" t="s">
        <v>43</v>
      </c>
      <c r="D842" s="5">
        <v>8</v>
      </c>
      <c r="E842" t="s">
        <v>1308</v>
      </c>
      <c r="F842" t="s">
        <v>83</v>
      </c>
      <c r="G842" s="2">
        <f t="shared" si="39"/>
        <v>46033</v>
      </c>
      <c r="H842" cm="1">
        <f t="array" ref="H842">D842*_xlfn.XLOOKUP(C842,Clean_Inventry_Master!A:A,Clean_Inventry_Master!E:E,NOT FOUND,0)</f>
        <v>68</v>
      </c>
      <c r="I842" s="2">
        <f t="shared" si="40"/>
        <v>46023</v>
      </c>
      <c r="J842" t="str">
        <f t="shared" si="41"/>
        <v>Jan 2026</v>
      </c>
    </row>
    <row r="843" spans="1:10" x14ac:dyDescent="0.3">
      <c r="A843" t="s">
        <v>1298</v>
      </c>
      <c r="B843" t="s">
        <v>1299</v>
      </c>
      <c r="C843" t="s">
        <v>24</v>
      </c>
      <c r="D843" s="5">
        <v>6</v>
      </c>
      <c r="E843" t="s">
        <v>77</v>
      </c>
      <c r="F843" t="s">
        <v>92</v>
      </c>
      <c r="G843" s="2">
        <f t="shared" si="39"/>
        <v>46145</v>
      </c>
      <c r="H843" cm="1">
        <f t="array" ref="H843">D843*_xlfn.XLOOKUP(C843,Clean_Inventry_Master!A:A,Clean_Inventry_Master!E:E,NOT FOUND,0)</f>
        <v>839.94</v>
      </c>
      <c r="I843" s="2">
        <f t="shared" si="40"/>
        <v>46143</v>
      </c>
      <c r="J843" t="str">
        <f t="shared" si="41"/>
        <v>May 2026</v>
      </c>
    </row>
    <row r="844" spans="1:10" x14ac:dyDescent="0.3">
      <c r="A844" t="s">
        <v>1300</v>
      </c>
      <c r="B844" t="s">
        <v>384</v>
      </c>
      <c r="C844" t="s">
        <v>7</v>
      </c>
      <c r="D844" s="5">
        <v>9</v>
      </c>
      <c r="E844" t="s">
        <v>91</v>
      </c>
      <c r="F844" t="s">
        <v>83</v>
      </c>
      <c r="G844" s="2">
        <f t="shared" si="39"/>
        <v>46044</v>
      </c>
      <c r="H844" cm="1">
        <f t="array" ref="H844">D844*_xlfn.XLOOKUP(C844,Clean_Inventry_Master!A:A,Clean_Inventry_Master!E:E,NOT FOUND,0)</f>
        <v>405</v>
      </c>
      <c r="I844" s="2">
        <f t="shared" si="40"/>
        <v>46023</v>
      </c>
      <c r="J844" t="str">
        <f t="shared" si="41"/>
        <v>Jan 2026</v>
      </c>
    </row>
    <row r="845" spans="1:10" x14ac:dyDescent="0.3">
      <c r="A845" t="s">
        <v>1301</v>
      </c>
      <c r="B845" t="s">
        <v>1269</v>
      </c>
      <c r="C845" t="s">
        <v>33</v>
      </c>
      <c r="D845" s="5">
        <v>10</v>
      </c>
      <c r="E845" t="s">
        <v>82</v>
      </c>
      <c r="F845" t="s">
        <v>78</v>
      </c>
      <c r="G845" s="2">
        <f t="shared" si="39"/>
        <v>46181</v>
      </c>
      <c r="H845" cm="1">
        <f t="array" ref="H845">D845*_xlfn.XLOOKUP(C845,Clean_Inventry_Master!A:A,Clean_Inventry_Master!E:E,NOT FOUND,0)</f>
        <v>240</v>
      </c>
      <c r="I845" s="2">
        <f t="shared" si="40"/>
        <v>46174</v>
      </c>
      <c r="J845" t="str">
        <f t="shared" si="41"/>
        <v>Jun 2026</v>
      </c>
    </row>
    <row r="846" spans="1:10" x14ac:dyDescent="0.3">
      <c r="A846" t="s">
        <v>1302</v>
      </c>
      <c r="B846" t="s">
        <v>1040</v>
      </c>
      <c r="C846" t="s">
        <v>20</v>
      </c>
      <c r="D846" s="5">
        <v>12</v>
      </c>
      <c r="E846" t="s">
        <v>77</v>
      </c>
      <c r="F846" t="s">
        <v>92</v>
      </c>
      <c r="G846" s="2">
        <f t="shared" si="39"/>
        <v>46142</v>
      </c>
      <c r="H846" cm="1">
        <f t="array" ref="H846">D846*_xlfn.XLOOKUP(C846,Clean_Inventry_Master!A:A,Clean_Inventry_Master!E:E,NOT FOUND,0)</f>
        <v>959.87999999999988</v>
      </c>
      <c r="I846" s="2">
        <f t="shared" si="40"/>
        <v>46113</v>
      </c>
      <c r="J846" t="str">
        <f t="shared" si="41"/>
        <v>Apr 2026</v>
      </c>
    </row>
    <row r="847" spans="1:10" x14ac:dyDescent="0.3">
      <c r="A847" t="s">
        <v>1303</v>
      </c>
      <c r="B847" t="s">
        <v>655</v>
      </c>
      <c r="C847" t="s">
        <v>10</v>
      </c>
      <c r="D847" s="5">
        <v>2</v>
      </c>
      <c r="E847" t="s">
        <v>91</v>
      </c>
      <c r="F847" t="s">
        <v>78</v>
      </c>
      <c r="G847" s="2">
        <f t="shared" si="39"/>
        <v>46034</v>
      </c>
      <c r="H847" cm="1">
        <f t="array" ref="H847">D847*_xlfn.XLOOKUP(C847,Clean_Inventry_Master!A:A,Clean_Inventry_Master!E:E,NOT FOUND,0)</f>
        <v>998</v>
      </c>
      <c r="I847" s="2">
        <f t="shared" si="40"/>
        <v>46023</v>
      </c>
      <c r="J847" t="str">
        <f t="shared" si="41"/>
        <v>Jan 2026</v>
      </c>
    </row>
    <row r="848" spans="1:10" x14ac:dyDescent="0.3">
      <c r="A848" t="s">
        <v>1304</v>
      </c>
      <c r="B848" t="s">
        <v>760</v>
      </c>
      <c r="C848" t="s">
        <v>66</v>
      </c>
      <c r="D848" s="5">
        <v>6</v>
      </c>
      <c r="E848" t="s">
        <v>1308</v>
      </c>
      <c r="F848" t="s">
        <v>92</v>
      </c>
      <c r="G848" s="2">
        <f t="shared" si="39"/>
        <v>46279</v>
      </c>
      <c r="H848" cm="1">
        <f t="array" ref="H848">D848*_xlfn.XLOOKUP(C848,Clean_Inventry_Master!A:A,Clean_Inventry_Master!E:E,NOT FOUND,0)</f>
        <v>209.94</v>
      </c>
      <c r="I848" s="2">
        <f t="shared" si="40"/>
        <v>46266</v>
      </c>
      <c r="J848" t="str">
        <f t="shared" si="41"/>
        <v>Sep 2026</v>
      </c>
    </row>
    <row r="849" spans="1:10" x14ac:dyDescent="0.3">
      <c r="A849" t="s">
        <v>1305</v>
      </c>
      <c r="B849" t="s">
        <v>441</v>
      </c>
      <c r="C849" t="s">
        <v>22</v>
      </c>
      <c r="D849" s="5">
        <v>12</v>
      </c>
      <c r="E849" t="s">
        <v>77</v>
      </c>
      <c r="F849" t="s">
        <v>83</v>
      </c>
      <c r="G849" s="2">
        <f t="shared" si="39"/>
        <v>46218</v>
      </c>
      <c r="H849" cm="1">
        <f t="array" ref="H849">D849*_xlfn.XLOOKUP(C849,Clean_Inventry_Master!A:A,Clean_Inventry_Master!E:E,NOT FOUND,0)</f>
        <v>1439.8799999999999</v>
      </c>
      <c r="I849" s="2">
        <f t="shared" si="40"/>
        <v>46204</v>
      </c>
      <c r="J849" t="str">
        <f t="shared" si="41"/>
        <v>Jul 2026</v>
      </c>
    </row>
    <row r="850" spans="1:10" x14ac:dyDescent="0.3">
      <c r="A850" t="s">
        <v>1306</v>
      </c>
      <c r="B850" t="s">
        <v>605</v>
      </c>
      <c r="C850" t="s">
        <v>26</v>
      </c>
      <c r="D850" s="5">
        <v>10</v>
      </c>
      <c r="E850" t="s">
        <v>77</v>
      </c>
      <c r="F850" t="s">
        <v>78</v>
      </c>
      <c r="G850" s="2">
        <f t="shared" si="39"/>
        <v>46096</v>
      </c>
      <c r="H850" cm="1">
        <f t="array" ref="H850">D850*_xlfn.XLOOKUP(C850,Clean_Inventry_Master!A:A,Clean_Inventry_Master!E:E,NOT FOUND,0)</f>
        <v>899.9</v>
      </c>
      <c r="I850" s="2">
        <f t="shared" si="40"/>
        <v>46082</v>
      </c>
      <c r="J850" t="str">
        <f t="shared" si="41"/>
        <v>Mar 2026</v>
      </c>
    </row>
    <row r="851" spans="1:10" x14ac:dyDescent="0.3">
      <c r="A851" t="s">
        <v>1307</v>
      </c>
      <c r="B851" t="s">
        <v>309</v>
      </c>
      <c r="C851" t="s">
        <v>41</v>
      </c>
      <c r="D851" s="5">
        <v>13</v>
      </c>
      <c r="E851" t="s">
        <v>1308</v>
      </c>
      <c r="F851" t="s">
        <v>83</v>
      </c>
      <c r="G851" s="2">
        <f t="shared" si="39"/>
        <v>46178</v>
      </c>
      <c r="H851" cm="1">
        <f t="array" ref="H851">D851*_xlfn.XLOOKUP(C851,Clean_Inventry_Master!A:A,Clean_Inventry_Master!E:E,NOT FOUND,0)</f>
        <v>519.87</v>
      </c>
      <c r="I851" s="2">
        <f t="shared" si="40"/>
        <v>46174</v>
      </c>
      <c r="J851" t="str">
        <f t="shared" si="41"/>
        <v>Jun 2026</v>
      </c>
    </row>
    <row r="853" spans="1:10" x14ac:dyDescent="0.3">
      <c r="D853" s="5">
        <f ca="1">SUM(D:D)</f>
        <v>6370</v>
      </c>
      <c r="H853">
        <f ca="1">SUM(H:H)</f>
        <v>572611.44999999914</v>
      </c>
    </row>
  </sheetData>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E01AB-5934-40F6-8064-1DE061BC7B1F}">
  <dimension ref="A1:L35"/>
  <sheetViews>
    <sheetView workbookViewId="0">
      <selection activeCell="N2" sqref="N2"/>
    </sheetView>
  </sheetViews>
  <sheetFormatPr defaultRowHeight="14.4" x14ac:dyDescent="0.3"/>
  <cols>
    <col min="1" max="1" width="12.109375" bestFit="1" customWidth="1"/>
    <col min="2" max="2" width="25.21875" bestFit="1" customWidth="1"/>
    <col min="3" max="3" width="13.109375" bestFit="1" customWidth="1"/>
    <col min="4" max="4" width="10.88671875" bestFit="1" customWidth="1"/>
    <col min="5" max="5" width="13.21875" bestFit="1" customWidth="1"/>
    <col min="6" max="6" width="18.5546875" bestFit="1" customWidth="1"/>
    <col min="7" max="7" width="14.88671875" bestFit="1" customWidth="1"/>
    <col min="8" max="8" width="15.6640625" bestFit="1" customWidth="1"/>
    <col min="9" max="9" width="17.77734375" bestFit="1" customWidth="1"/>
    <col min="10" max="10" width="15.6640625" bestFit="1" customWidth="1"/>
    <col min="11" max="11" width="16.109375" bestFit="1" customWidth="1"/>
    <col min="12" max="12" width="11.88671875" bestFit="1" customWidth="1"/>
  </cols>
  <sheetData>
    <row r="1" spans="1:12" x14ac:dyDescent="0.3">
      <c r="A1" t="s">
        <v>0</v>
      </c>
      <c r="B1" t="s">
        <v>1</v>
      </c>
      <c r="C1" t="s">
        <v>2</v>
      </c>
      <c r="D1" t="s">
        <v>3</v>
      </c>
      <c r="E1" t="s">
        <v>4</v>
      </c>
      <c r="F1" t="s">
        <v>5</v>
      </c>
      <c r="G1" t="s">
        <v>6</v>
      </c>
      <c r="H1" t="s">
        <v>1320</v>
      </c>
      <c r="I1" t="s">
        <v>1321</v>
      </c>
      <c r="J1" t="s">
        <v>1322</v>
      </c>
      <c r="K1" t="s">
        <v>1323</v>
      </c>
      <c r="L1" t="s">
        <v>1332</v>
      </c>
    </row>
    <row r="2" spans="1:12" x14ac:dyDescent="0.3">
      <c r="A2" t="s">
        <v>7</v>
      </c>
      <c r="B2" t="s">
        <v>8</v>
      </c>
      <c r="C2" t="s">
        <v>9</v>
      </c>
      <c r="D2">
        <v>15</v>
      </c>
      <c r="E2">
        <v>45</v>
      </c>
      <c r="F2">
        <v>150</v>
      </c>
      <c r="G2">
        <v>600</v>
      </c>
      <c r="H2">
        <f>SUMIFS(Clean_Sales_Data!D:D,Clean_Sales_Data!C:C,Clean_Inventry_Master!A2)</f>
        <v>136</v>
      </c>
      <c r="I2">
        <f t="shared" ref="I2:I31" si="0">G2-H2</f>
        <v>464</v>
      </c>
      <c r="J2">
        <f t="shared" ref="J2:J31" si="1">H2*E2</f>
        <v>6120</v>
      </c>
      <c r="K2" t="str" cm="1">
        <f t="array" ref="K2">_xlfn.IFS(I2&lt;0,"STOCK CRISIS",I2&lt;=F2,"REORDER",I2&gt;F2,"STABLE")</f>
        <v>STABLE</v>
      </c>
      <c r="L2">
        <f t="shared" ref="L2:L31" si="2">J2-(H2*D2)</f>
        <v>4080</v>
      </c>
    </row>
    <row r="3" spans="1:12" x14ac:dyDescent="0.3">
      <c r="A3" t="s">
        <v>10</v>
      </c>
      <c r="B3" t="s">
        <v>1310</v>
      </c>
      <c r="C3" t="s">
        <v>9</v>
      </c>
      <c r="D3">
        <v>210</v>
      </c>
      <c r="E3">
        <v>499</v>
      </c>
      <c r="F3">
        <v>25</v>
      </c>
      <c r="G3">
        <v>80</v>
      </c>
      <c r="H3">
        <f>SUMIFS(Clean_Sales_Data!D:D,Clean_Sales_Data!C:C,Clean_Inventry_Master!A3)</f>
        <v>189</v>
      </c>
      <c r="I3">
        <f t="shared" si="0"/>
        <v>-109</v>
      </c>
      <c r="J3">
        <f t="shared" si="1"/>
        <v>94311</v>
      </c>
      <c r="K3" t="str" cm="1">
        <f t="array" ref="K3">_xlfn.IFS(I3&lt;0,"STOCK CRISIS",I3&lt;=F3,"REORDER",I3&gt;F3,"STABLE")</f>
        <v>STOCK CRISIS</v>
      </c>
      <c r="L3">
        <f t="shared" si="2"/>
        <v>54621</v>
      </c>
    </row>
    <row r="4" spans="1:12" x14ac:dyDescent="0.3">
      <c r="A4" t="s">
        <v>12</v>
      </c>
      <c r="B4" t="s">
        <v>13</v>
      </c>
      <c r="C4" t="s">
        <v>9</v>
      </c>
      <c r="D4">
        <v>40</v>
      </c>
      <c r="E4">
        <v>95</v>
      </c>
      <c r="F4">
        <v>60</v>
      </c>
      <c r="G4">
        <v>200</v>
      </c>
      <c r="H4">
        <f>SUMIFS(Clean_Sales_Data!D:D,Clean_Sales_Data!C:C,Clean_Inventry_Master!A4)</f>
        <v>199</v>
      </c>
      <c r="I4">
        <f t="shared" si="0"/>
        <v>1</v>
      </c>
      <c r="J4">
        <f t="shared" si="1"/>
        <v>18905</v>
      </c>
      <c r="K4" t="str" cm="1">
        <f t="array" ref="K4">_xlfn.IFS(I4&lt;0,"STOCK CRISIS",I4&lt;=F4,"REORDER",I4&gt;F4,"STABLE")</f>
        <v>REORDER</v>
      </c>
      <c r="L4">
        <f t="shared" si="2"/>
        <v>10945</v>
      </c>
    </row>
    <row r="5" spans="1:12" x14ac:dyDescent="0.3">
      <c r="A5" t="s">
        <v>14</v>
      </c>
      <c r="B5" t="s">
        <v>15</v>
      </c>
      <c r="C5" t="s">
        <v>9</v>
      </c>
      <c r="D5">
        <v>12</v>
      </c>
      <c r="E5">
        <v>35</v>
      </c>
      <c r="F5">
        <v>75</v>
      </c>
      <c r="G5">
        <v>250</v>
      </c>
      <c r="H5">
        <f>SUMIFS(Clean_Sales_Data!D:D,Clean_Sales_Data!C:C,Clean_Inventry_Master!A5)</f>
        <v>175</v>
      </c>
      <c r="I5">
        <f t="shared" si="0"/>
        <v>75</v>
      </c>
      <c r="J5">
        <f t="shared" si="1"/>
        <v>6125</v>
      </c>
      <c r="K5" t="str" cm="1">
        <f t="array" ref="K5">_xlfn.IFS(I5&lt;0,"STOCK CRISIS",I5&lt;=F5,"REORDER",I5&gt;F5,"STABLE")</f>
        <v>REORDER</v>
      </c>
      <c r="L5">
        <f t="shared" si="2"/>
        <v>4025</v>
      </c>
    </row>
    <row r="6" spans="1:12" x14ac:dyDescent="0.3">
      <c r="A6" t="s">
        <v>16</v>
      </c>
      <c r="B6" t="s">
        <v>17</v>
      </c>
      <c r="C6" t="s">
        <v>9</v>
      </c>
      <c r="D6">
        <v>85</v>
      </c>
      <c r="E6">
        <v>229</v>
      </c>
      <c r="F6">
        <v>30</v>
      </c>
      <c r="G6">
        <v>95</v>
      </c>
      <c r="H6">
        <f>SUMIFS(Clean_Sales_Data!D:D,Clean_Sales_Data!C:C,Clean_Inventry_Master!A6)</f>
        <v>261</v>
      </c>
      <c r="I6">
        <f t="shared" si="0"/>
        <v>-166</v>
      </c>
      <c r="J6">
        <f t="shared" si="1"/>
        <v>59769</v>
      </c>
      <c r="K6" t="str" cm="1">
        <f t="array" ref="K6">_xlfn.IFS(I6&lt;0,"STOCK CRISIS",I6&lt;=F6,"REORDER",I6&gt;F6,"STABLE")</f>
        <v>STOCK CRISIS</v>
      </c>
      <c r="L6">
        <f t="shared" si="2"/>
        <v>37584</v>
      </c>
    </row>
    <row r="7" spans="1:12" x14ac:dyDescent="0.3">
      <c r="A7" t="s">
        <v>18</v>
      </c>
      <c r="B7" t="s">
        <v>1311</v>
      </c>
      <c r="C7" t="s">
        <v>9</v>
      </c>
      <c r="D7">
        <v>25</v>
      </c>
      <c r="E7">
        <v>69.989999999999995</v>
      </c>
      <c r="F7">
        <v>50</v>
      </c>
      <c r="G7">
        <v>180</v>
      </c>
      <c r="H7">
        <f>SUMIFS(Clean_Sales_Data!D:D,Clean_Sales_Data!C:C,Clean_Inventry_Master!A7)</f>
        <v>175</v>
      </c>
      <c r="I7">
        <f t="shared" si="0"/>
        <v>5</v>
      </c>
      <c r="J7">
        <f t="shared" si="1"/>
        <v>12248.25</v>
      </c>
      <c r="K7" t="str" cm="1">
        <f t="array" ref="K7">_xlfn.IFS(I7&lt;0,"STOCK CRISIS",I7&lt;=F7,"REORDER",I7&gt;F7,"STABLE")</f>
        <v>REORDER</v>
      </c>
      <c r="L7">
        <f t="shared" si="2"/>
        <v>7873.25</v>
      </c>
    </row>
    <row r="8" spans="1:12" x14ac:dyDescent="0.3">
      <c r="A8" t="s">
        <v>20</v>
      </c>
      <c r="B8" t="s">
        <v>21</v>
      </c>
      <c r="C8" t="s">
        <v>9</v>
      </c>
      <c r="D8">
        <v>30</v>
      </c>
      <c r="E8">
        <v>79.989999999999995</v>
      </c>
      <c r="F8">
        <v>40</v>
      </c>
      <c r="G8">
        <v>150</v>
      </c>
      <c r="H8">
        <f>SUMIFS(Clean_Sales_Data!D:D,Clean_Sales_Data!C:C,Clean_Inventry_Master!A8)</f>
        <v>225</v>
      </c>
      <c r="I8">
        <f t="shared" si="0"/>
        <v>-75</v>
      </c>
      <c r="J8">
        <f t="shared" si="1"/>
        <v>17997.75</v>
      </c>
      <c r="K8" t="str" cm="1">
        <f t="array" ref="K8">_xlfn.IFS(I8&lt;0,"STOCK CRISIS",I8&lt;=F8,"REORDER",I8&gt;F8,"STABLE")</f>
        <v>STOCK CRISIS</v>
      </c>
      <c r="L8">
        <f t="shared" si="2"/>
        <v>11247.75</v>
      </c>
    </row>
    <row r="9" spans="1:12" x14ac:dyDescent="0.3">
      <c r="A9" t="s">
        <v>22</v>
      </c>
      <c r="B9" t="s">
        <v>23</v>
      </c>
      <c r="C9" t="s">
        <v>9</v>
      </c>
      <c r="D9">
        <v>45</v>
      </c>
      <c r="E9">
        <v>119.99</v>
      </c>
      <c r="F9">
        <v>35</v>
      </c>
      <c r="G9">
        <v>110</v>
      </c>
      <c r="H9">
        <f>SUMIFS(Clean_Sales_Data!D:D,Clean_Sales_Data!C:C,Clean_Inventry_Master!A9)</f>
        <v>194</v>
      </c>
      <c r="I9">
        <f t="shared" si="0"/>
        <v>-84</v>
      </c>
      <c r="J9">
        <f t="shared" si="1"/>
        <v>23278.059999999998</v>
      </c>
      <c r="K9" t="str" cm="1">
        <f t="array" ref="K9">_xlfn.IFS(I9&lt;0,"STOCK CRISIS",I9&lt;=F9,"REORDER",I9&gt;F9,"STABLE")</f>
        <v>STOCK CRISIS</v>
      </c>
      <c r="L9">
        <f t="shared" si="2"/>
        <v>14548.059999999998</v>
      </c>
    </row>
    <row r="10" spans="1:12" x14ac:dyDescent="0.3">
      <c r="A10" t="s">
        <v>24</v>
      </c>
      <c r="B10" t="s">
        <v>1312</v>
      </c>
      <c r="C10" t="s">
        <v>9</v>
      </c>
      <c r="D10">
        <v>55</v>
      </c>
      <c r="E10">
        <v>139.99</v>
      </c>
      <c r="F10">
        <v>45</v>
      </c>
      <c r="G10">
        <v>160</v>
      </c>
      <c r="H10">
        <f>SUMIFS(Clean_Sales_Data!D:D,Clean_Sales_Data!C:C,Clean_Inventry_Master!A10)</f>
        <v>246</v>
      </c>
      <c r="I10">
        <f t="shared" si="0"/>
        <v>-86</v>
      </c>
      <c r="J10">
        <f t="shared" si="1"/>
        <v>34437.54</v>
      </c>
      <c r="K10" t="str" cm="1">
        <f t="array" ref="K10">_xlfn.IFS(I10&lt;0,"STOCK CRISIS",I10&lt;=F10,"REORDER",I10&gt;F10,"STABLE")</f>
        <v>STOCK CRISIS</v>
      </c>
      <c r="L10">
        <f t="shared" si="2"/>
        <v>20907.54</v>
      </c>
    </row>
    <row r="11" spans="1:12" x14ac:dyDescent="0.3">
      <c r="A11" t="s">
        <v>26</v>
      </c>
      <c r="B11" t="s">
        <v>1313</v>
      </c>
      <c r="C11" t="s">
        <v>9</v>
      </c>
      <c r="D11">
        <v>35</v>
      </c>
      <c r="E11">
        <v>89.99</v>
      </c>
      <c r="F11">
        <v>40</v>
      </c>
      <c r="G11">
        <v>130</v>
      </c>
      <c r="H11">
        <f>SUMIFS(Clean_Sales_Data!D:D,Clean_Sales_Data!C:C,Clean_Inventry_Master!A11)</f>
        <v>231</v>
      </c>
      <c r="I11">
        <f t="shared" si="0"/>
        <v>-101</v>
      </c>
      <c r="J11">
        <f t="shared" si="1"/>
        <v>20787.689999999999</v>
      </c>
      <c r="K11" t="str" cm="1">
        <f t="array" ref="K11">_xlfn.IFS(I11&lt;0,"STOCK CRISIS",I11&lt;=F11,"REORDER",I11&gt;F11,"STABLE")</f>
        <v>STOCK CRISIS</v>
      </c>
      <c r="L11">
        <f t="shared" si="2"/>
        <v>12702.689999999999</v>
      </c>
    </row>
    <row r="12" spans="1:12" x14ac:dyDescent="0.3">
      <c r="A12" t="s">
        <v>28</v>
      </c>
      <c r="B12" t="s">
        <v>29</v>
      </c>
      <c r="C12" t="s">
        <v>30</v>
      </c>
      <c r="D12">
        <v>65</v>
      </c>
      <c r="E12">
        <v>180</v>
      </c>
      <c r="F12">
        <v>40</v>
      </c>
      <c r="G12">
        <v>120</v>
      </c>
      <c r="H12">
        <f>SUMIFS(Clean_Sales_Data!D:D,Clean_Sales_Data!C:C,Clean_Inventry_Master!A12)</f>
        <v>312</v>
      </c>
      <c r="I12">
        <f t="shared" si="0"/>
        <v>-192</v>
      </c>
      <c r="J12">
        <f t="shared" si="1"/>
        <v>56160</v>
      </c>
      <c r="K12" t="str" cm="1">
        <f t="array" ref="K12">_xlfn.IFS(I12&lt;0,"STOCK CRISIS",I12&lt;=F12,"REORDER",I12&gt;F12,"STABLE")</f>
        <v>STOCK CRISIS</v>
      </c>
      <c r="L12">
        <f t="shared" si="2"/>
        <v>35880</v>
      </c>
    </row>
    <row r="13" spans="1:12" x14ac:dyDescent="0.3">
      <c r="A13" t="s">
        <v>31</v>
      </c>
      <c r="B13" t="s">
        <v>32</v>
      </c>
      <c r="C13" t="s">
        <v>30</v>
      </c>
      <c r="D13">
        <v>4.5</v>
      </c>
      <c r="E13">
        <v>15</v>
      </c>
      <c r="F13">
        <v>100</v>
      </c>
      <c r="G13">
        <v>400</v>
      </c>
      <c r="H13">
        <f>SUMIFS(Clean_Sales_Data!D:D,Clean_Sales_Data!C:C,Clean_Inventry_Master!A13)</f>
        <v>193</v>
      </c>
      <c r="I13">
        <f t="shared" si="0"/>
        <v>207</v>
      </c>
      <c r="J13">
        <f t="shared" si="1"/>
        <v>2895</v>
      </c>
      <c r="K13" t="str" cm="1">
        <f t="array" ref="K13">_xlfn.IFS(I13&lt;0,"STOCK CRISIS",I13&lt;=F13,"REORDER",I13&gt;F13,"STABLE")</f>
        <v>STABLE</v>
      </c>
      <c r="L13">
        <f t="shared" si="2"/>
        <v>2026.5</v>
      </c>
    </row>
    <row r="14" spans="1:12" x14ac:dyDescent="0.3">
      <c r="A14" t="s">
        <v>33</v>
      </c>
      <c r="B14" t="s">
        <v>34</v>
      </c>
      <c r="C14" t="s">
        <v>30</v>
      </c>
      <c r="D14">
        <v>8</v>
      </c>
      <c r="E14">
        <v>24</v>
      </c>
      <c r="F14">
        <v>50</v>
      </c>
      <c r="G14">
        <v>150</v>
      </c>
      <c r="H14">
        <f>SUMIFS(Clean_Sales_Data!D:D,Clean_Sales_Data!C:C,Clean_Inventry_Master!A14)</f>
        <v>303</v>
      </c>
      <c r="I14">
        <f t="shared" si="0"/>
        <v>-153</v>
      </c>
      <c r="J14">
        <f t="shared" si="1"/>
        <v>7272</v>
      </c>
      <c r="K14" t="str" cm="1">
        <f t="array" ref="K14">_xlfn.IFS(I14&lt;0,"STOCK CRISIS",I14&lt;=F14,"REORDER",I14&gt;F14,"STABLE")</f>
        <v>STOCK CRISIS</v>
      </c>
      <c r="L14">
        <f t="shared" si="2"/>
        <v>4848</v>
      </c>
    </row>
    <row r="15" spans="1:12" x14ac:dyDescent="0.3">
      <c r="A15" t="s">
        <v>35</v>
      </c>
      <c r="B15" t="s">
        <v>1314</v>
      </c>
      <c r="C15" t="s">
        <v>30</v>
      </c>
      <c r="D15">
        <v>3</v>
      </c>
      <c r="E15">
        <v>9.99</v>
      </c>
      <c r="F15">
        <v>120</v>
      </c>
      <c r="G15">
        <v>500</v>
      </c>
      <c r="H15">
        <f>SUMIFS(Clean_Sales_Data!D:D,Clean_Sales_Data!C:C,Clean_Inventry_Master!A15)</f>
        <v>213</v>
      </c>
      <c r="I15">
        <f t="shared" si="0"/>
        <v>287</v>
      </c>
      <c r="J15">
        <f t="shared" si="1"/>
        <v>2127.87</v>
      </c>
      <c r="K15" t="str" cm="1">
        <f t="array" ref="K15">_xlfn.IFS(I15&lt;0,"STOCK CRISIS",I15&lt;=F15,"REORDER",I15&gt;F15,"STABLE")</f>
        <v>STABLE</v>
      </c>
      <c r="L15">
        <f t="shared" si="2"/>
        <v>1488.87</v>
      </c>
    </row>
    <row r="16" spans="1:12" x14ac:dyDescent="0.3">
      <c r="A16" t="s">
        <v>37</v>
      </c>
      <c r="B16" t="s">
        <v>38</v>
      </c>
      <c r="C16" t="s">
        <v>30</v>
      </c>
      <c r="D16">
        <v>18</v>
      </c>
      <c r="E16">
        <v>45</v>
      </c>
      <c r="F16">
        <v>30</v>
      </c>
      <c r="G16">
        <v>90</v>
      </c>
      <c r="H16">
        <f>SUMIFS(Clean_Sales_Data!D:D,Clean_Sales_Data!C:C,Clean_Inventry_Master!A16)</f>
        <v>172</v>
      </c>
      <c r="I16">
        <f t="shared" si="0"/>
        <v>-82</v>
      </c>
      <c r="J16">
        <f t="shared" si="1"/>
        <v>7740</v>
      </c>
      <c r="K16" t="str" cm="1">
        <f t="array" ref="K16">_xlfn.IFS(I16&lt;0,"STOCK CRISIS",I16&lt;=F16,"REORDER",I16&gt;F16,"STABLE")</f>
        <v>STOCK CRISIS</v>
      </c>
      <c r="L16">
        <f t="shared" si="2"/>
        <v>4644</v>
      </c>
    </row>
    <row r="17" spans="1:12" x14ac:dyDescent="0.3">
      <c r="A17" t="s">
        <v>39</v>
      </c>
      <c r="B17" t="s">
        <v>40</v>
      </c>
      <c r="C17" t="s">
        <v>30</v>
      </c>
      <c r="D17">
        <v>7.5</v>
      </c>
      <c r="E17">
        <v>21.99</v>
      </c>
      <c r="F17">
        <v>40</v>
      </c>
      <c r="G17">
        <v>140</v>
      </c>
      <c r="H17">
        <f>SUMIFS(Clean_Sales_Data!D:D,Clean_Sales_Data!C:C,Clean_Inventry_Master!A17)</f>
        <v>263</v>
      </c>
      <c r="I17">
        <f t="shared" si="0"/>
        <v>-123</v>
      </c>
      <c r="J17">
        <f t="shared" si="1"/>
        <v>5783.37</v>
      </c>
      <c r="K17" t="str" cm="1">
        <f t="array" ref="K17">_xlfn.IFS(I17&lt;0,"STOCK CRISIS",I17&lt;=F17,"REORDER",I17&gt;F17,"STABLE")</f>
        <v>STOCK CRISIS</v>
      </c>
      <c r="L17">
        <f t="shared" si="2"/>
        <v>3810.87</v>
      </c>
    </row>
    <row r="18" spans="1:12" x14ac:dyDescent="0.3">
      <c r="A18" t="s">
        <v>41</v>
      </c>
      <c r="B18" t="s">
        <v>42</v>
      </c>
      <c r="C18" t="s">
        <v>30</v>
      </c>
      <c r="D18">
        <v>14</v>
      </c>
      <c r="E18">
        <v>39.99</v>
      </c>
      <c r="F18">
        <v>35</v>
      </c>
      <c r="G18">
        <v>110</v>
      </c>
      <c r="H18">
        <f>SUMIFS(Clean_Sales_Data!D:D,Clean_Sales_Data!C:C,Clean_Inventry_Master!A18)</f>
        <v>220</v>
      </c>
      <c r="I18">
        <f t="shared" si="0"/>
        <v>-110</v>
      </c>
      <c r="J18">
        <f t="shared" si="1"/>
        <v>8797.8000000000011</v>
      </c>
      <c r="K18" t="str" cm="1">
        <f t="array" ref="K18">_xlfn.IFS(I18&lt;0,"STOCK CRISIS",I18&lt;=F18,"REORDER",I18&gt;F18,"STABLE")</f>
        <v>STOCK CRISIS</v>
      </c>
      <c r="L18">
        <f t="shared" si="2"/>
        <v>5717.8000000000011</v>
      </c>
    </row>
    <row r="19" spans="1:12" x14ac:dyDescent="0.3">
      <c r="A19" t="s">
        <v>43</v>
      </c>
      <c r="B19" t="s">
        <v>1315</v>
      </c>
      <c r="C19" t="s">
        <v>30</v>
      </c>
      <c r="D19">
        <v>2.5</v>
      </c>
      <c r="E19">
        <v>8.5</v>
      </c>
      <c r="F19">
        <v>60</v>
      </c>
      <c r="G19">
        <v>200</v>
      </c>
      <c r="H19">
        <f>SUMIFS(Clean_Sales_Data!D:D,Clean_Sales_Data!C:C,Clean_Inventry_Master!A19)</f>
        <v>277</v>
      </c>
      <c r="I19">
        <f t="shared" si="0"/>
        <v>-77</v>
      </c>
      <c r="J19">
        <f t="shared" si="1"/>
        <v>2354.5</v>
      </c>
      <c r="K19" t="str" cm="1">
        <f t="array" ref="K19">_xlfn.IFS(I19&lt;0,"STOCK CRISIS",I19&lt;=F19,"REORDER",I19&gt;F19,"STABLE")</f>
        <v>STOCK CRISIS</v>
      </c>
      <c r="L19">
        <f t="shared" si="2"/>
        <v>1662</v>
      </c>
    </row>
    <row r="20" spans="1:12" x14ac:dyDescent="0.3">
      <c r="A20" t="s">
        <v>45</v>
      </c>
      <c r="B20" t="s">
        <v>1316</v>
      </c>
      <c r="C20" t="s">
        <v>30</v>
      </c>
      <c r="D20">
        <v>6</v>
      </c>
      <c r="E20">
        <v>18.989999999999998</v>
      </c>
      <c r="F20">
        <v>80</v>
      </c>
      <c r="G20">
        <v>250</v>
      </c>
      <c r="H20">
        <f>SUMIFS(Clean_Sales_Data!D:D,Clean_Sales_Data!C:C,Clean_Inventry_Master!A20)</f>
        <v>157</v>
      </c>
      <c r="I20">
        <f t="shared" si="0"/>
        <v>93</v>
      </c>
      <c r="J20">
        <f t="shared" si="1"/>
        <v>2981.43</v>
      </c>
      <c r="K20" t="str" cm="1">
        <f t="array" ref="K20">_xlfn.IFS(I20&lt;0,"STOCK CRISIS",I20&lt;=F20,"REORDER",I20&gt;F20,"STABLE")</f>
        <v>STABLE</v>
      </c>
      <c r="L20">
        <f t="shared" si="2"/>
        <v>2039.4299999999998</v>
      </c>
    </row>
    <row r="21" spans="1:12" x14ac:dyDescent="0.3">
      <c r="A21" t="s">
        <v>47</v>
      </c>
      <c r="B21" t="s">
        <v>48</v>
      </c>
      <c r="C21" t="s">
        <v>30</v>
      </c>
      <c r="D21">
        <v>45</v>
      </c>
      <c r="E21">
        <v>129.99</v>
      </c>
      <c r="F21">
        <v>20</v>
      </c>
      <c r="G21">
        <v>65</v>
      </c>
      <c r="H21">
        <f>SUMIFS(Clean_Sales_Data!D:D,Clean_Sales_Data!C:C,Clean_Inventry_Master!A21)</f>
        <v>255</v>
      </c>
      <c r="I21">
        <f t="shared" si="0"/>
        <v>-190</v>
      </c>
      <c r="J21">
        <f t="shared" si="1"/>
        <v>33147.450000000004</v>
      </c>
      <c r="K21" t="str" cm="1">
        <f t="array" ref="K21">_xlfn.IFS(I21&lt;0,"STOCK CRISIS",I21&lt;=F21,"REORDER",I21&gt;F21,"STABLE")</f>
        <v>STOCK CRISIS</v>
      </c>
      <c r="L21">
        <f t="shared" si="2"/>
        <v>21672.450000000004</v>
      </c>
    </row>
    <row r="22" spans="1:12" x14ac:dyDescent="0.3">
      <c r="A22" t="s">
        <v>49</v>
      </c>
      <c r="B22" t="s">
        <v>1317</v>
      </c>
      <c r="C22" t="s">
        <v>51</v>
      </c>
      <c r="D22">
        <v>18</v>
      </c>
      <c r="E22">
        <v>49.99</v>
      </c>
      <c r="F22">
        <v>70</v>
      </c>
      <c r="G22">
        <v>220</v>
      </c>
      <c r="H22">
        <f>SUMIFS(Clean_Sales_Data!D:D,Clean_Sales_Data!C:C,Clean_Inventry_Master!A22)</f>
        <v>253</v>
      </c>
      <c r="I22">
        <f t="shared" si="0"/>
        <v>-33</v>
      </c>
      <c r="J22">
        <f t="shared" si="1"/>
        <v>12647.470000000001</v>
      </c>
      <c r="K22" t="str" cm="1">
        <f t="array" ref="K22">_xlfn.IFS(I22&lt;0,"STOCK CRISIS",I22&lt;=F22,"REORDER",I22&gt;F22,"STABLE")</f>
        <v>STOCK CRISIS</v>
      </c>
      <c r="L22">
        <f t="shared" si="2"/>
        <v>8093.4700000000012</v>
      </c>
    </row>
    <row r="23" spans="1:12" x14ac:dyDescent="0.3">
      <c r="A23" t="s">
        <v>52</v>
      </c>
      <c r="B23" t="s">
        <v>53</v>
      </c>
      <c r="C23" t="s">
        <v>51</v>
      </c>
      <c r="D23">
        <v>9</v>
      </c>
      <c r="E23">
        <v>29.99</v>
      </c>
      <c r="F23">
        <v>80</v>
      </c>
      <c r="G23">
        <v>300</v>
      </c>
      <c r="H23">
        <f>SUMIFS(Clean_Sales_Data!D:D,Clean_Sales_Data!C:C,Clean_Inventry_Master!A23)</f>
        <v>193</v>
      </c>
      <c r="I23">
        <f t="shared" si="0"/>
        <v>107</v>
      </c>
      <c r="J23">
        <f t="shared" si="1"/>
        <v>5788.07</v>
      </c>
      <c r="K23" t="str" cm="1">
        <f t="array" ref="K23">_xlfn.IFS(I23&lt;0,"STOCK CRISIS",I23&lt;=F23,"REORDER",I23&gt;F23,"STABLE")</f>
        <v>STABLE</v>
      </c>
      <c r="L23">
        <f t="shared" si="2"/>
        <v>4051.0699999999997</v>
      </c>
    </row>
    <row r="24" spans="1:12" x14ac:dyDescent="0.3">
      <c r="A24" t="s">
        <v>54</v>
      </c>
      <c r="B24" t="s">
        <v>55</v>
      </c>
      <c r="C24" t="s">
        <v>51</v>
      </c>
      <c r="D24">
        <v>140</v>
      </c>
      <c r="E24">
        <v>349.99</v>
      </c>
      <c r="F24">
        <v>15</v>
      </c>
      <c r="G24">
        <v>50</v>
      </c>
      <c r="H24">
        <f>SUMIFS(Clean_Sales_Data!D:D,Clean_Sales_Data!C:C,Clean_Inventry_Master!A24)</f>
        <v>206</v>
      </c>
      <c r="I24">
        <f t="shared" si="0"/>
        <v>-156</v>
      </c>
      <c r="J24">
        <f t="shared" si="1"/>
        <v>72097.94</v>
      </c>
      <c r="K24" t="str" cm="1">
        <f t="array" ref="K24">_xlfn.IFS(I24&lt;0,"STOCK CRISIS",I24&lt;=F24,"REORDER",I24&gt;F24,"STABLE")</f>
        <v>STOCK CRISIS</v>
      </c>
      <c r="L24">
        <f t="shared" si="2"/>
        <v>43257.94</v>
      </c>
    </row>
    <row r="25" spans="1:12" x14ac:dyDescent="0.3">
      <c r="A25" t="s">
        <v>56</v>
      </c>
      <c r="B25" t="s">
        <v>57</v>
      </c>
      <c r="C25" t="s">
        <v>51</v>
      </c>
      <c r="D25">
        <v>11.5</v>
      </c>
      <c r="E25">
        <v>29.99</v>
      </c>
      <c r="F25">
        <v>50</v>
      </c>
      <c r="G25">
        <v>175</v>
      </c>
      <c r="H25">
        <f>SUMIFS(Clean_Sales_Data!D:D,Clean_Sales_Data!C:C,Clean_Inventry_Master!A25)</f>
        <v>102</v>
      </c>
      <c r="I25">
        <f t="shared" si="0"/>
        <v>73</v>
      </c>
      <c r="J25">
        <f t="shared" si="1"/>
        <v>3058.98</v>
      </c>
      <c r="K25" t="str" cm="1">
        <f t="array" ref="K25">_xlfn.IFS(I25&lt;0,"STOCK CRISIS",I25&lt;=F25,"REORDER",I25&gt;F25,"STABLE")</f>
        <v>STABLE</v>
      </c>
      <c r="L25">
        <f t="shared" si="2"/>
        <v>1885.98</v>
      </c>
    </row>
    <row r="26" spans="1:12" x14ac:dyDescent="0.3">
      <c r="A26" t="s">
        <v>58</v>
      </c>
      <c r="B26" t="s">
        <v>59</v>
      </c>
      <c r="C26" t="s">
        <v>51</v>
      </c>
      <c r="D26">
        <v>22</v>
      </c>
      <c r="E26">
        <v>59.99</v>
      </c>
      <c r="F26">
        <v>40</v>
      </c>
      <c r="G26">
        <v>130</v>
      </c>
      <c r="H26">
        <f>SUMIFS(Clean_Sales_Data!D:D,Clean_Sales_Data!C:C,Clean_Inventry_Master!A26)</f>
        <v>127</v>
      </c>
      <c r="I26">
        <f t="shared" si="0"/>
        <v>3</v>
      </c>
      <c r="J26">
        <f t="shared" si="1"/>
        <v>7618.7300000000005</v>
      </c>
      <c r="K26" t="str" cm="1">
        <f t="array" ref="K26">_xlfn.IFS(I26&lt;0,"STOCK CRISIS",I26&lt;=F26,"REORDER",I26&gt;F26,"STABLE")</f>
        <v>REORDER</v>
      </c>
      <c r="L26">
        <f t="shared" si="2"/>
        <v>4824.7300000000005</v>
      </c>
    </row>
    <row r="27" spans="1:12" x14ac:dyDescent="0.3">
      <c r="A27" t="s">
        <v>60</v>
      </c>
      <c r="B27" t="s">
        <v>61</v>
      </c>
      <c r="C27" t="s">
        <v>51</v>
      </c>
      <c r="D27">
        <v>35</v>
      </c>
      <c r="E27">
        <v>89.99</v>
      </c>
      <c r="F27">
        <v>25</v>
      </c>
      <c r="G27">
        <v>85</v>
      </c>
      <c r="H27">
        <f>SUMIFS(Clean_Sales_Data!D:D,Clean_Sales_Data!C:C,Clean_Inventry_Master!A27)</f>
        <v>249</v>
      </c>
      <c r="I27">
        <f t="shared" si="0"/>
        <v>-164</v>
      </c>
      <c r="J27">
        <f t="shared" si="1"/>
        <v>22407.51</v>
      </c>
      <c r="K27" t="str" cm="1">
        <f t="array" ref="K27">_xlfn.IFS(I27&lt;0,"STOCK CRISIS",I27&lt;=F27,"REORDER",I27&gt;F27,"STABLE")</f>
        <v>STOCK CRISIS</v>
      </c>
      <c r="L27">
        <f t="shared" si="2"/>
        <v>13692.509999999998</v>
      </c>
    </row>
    <row r="28" spans="1:12" x14ac:dyDescent="0.3">
      <c r="A28" t="s">
        <v>62</v>
      </c>
      <c r="B28" t="s">
        <v>63</v>
      </c>
      <c r="C28" t="s">
        <v>51</v>
      </c>
      <c r="D28">
        <v>9.5</v>
      </c>
      <c r="E28">
        <v>27.5</v>
      </c>
      <c r="F28">
        <v>60</v>
      </c>
      <c r="G28">
        <v>210</v>
      </c>
      <c r="H28">
        <f>SUMIFS(Clean_Sales_Data!D:D,Clean_Sales_Data!C:C,Clean_Inventry_Master!A28)</f>
        <v>95</v>
      </c>
      <c r="I28">
        <f t="shared" si="0"/>
        <v>115</v>
      </c>
      <c r="J28">
        <f t="shared" si="1"/>
        <v>2612.5</v>
      </c>
      <c r="K28" t="str" cm="1">
        <f t="array" ref="K28">_xlfn.IFS(I28&lt;0,"STOCK CRISIS",I28&lt;=F28,"REORDER",I28&gt;F28,"STABLE")</f>
        <v>STABLE</v>
      </c>
      <c r="L28">
        <f t="shared" si="2"/>
        <v>1710</v>
      </c>
    </row>
    <row r="29" spans="1:12" x14ac:dyDescent="0.3">
      <c r="A29" t="s">
        <v>64</v>
      </c>
      <c r="B29" t="s">
        <v>65</v>
      </c>
      <c r="C29" t="s">
        <v>51</v>
      </c>
      <c r="D29">
        <v>6</v>
      </c>
      <c r="E29">
        <v>19.989999999999998</v>
      </c>
      <c r="F29">
        <v>70</v>
      </c>
      <c r="G29">
        <v>240</v>
      </c>
      <c r="H29">
        <f>SUMIFS(Clean_Sales_Data!D:D,Clean_Sales_Data!C:C,Clean_Inventry_Master!A29)</f>
        <v>281</v>
      </c>
      <c r="I29">
        <f t="shared" si="0"/>
        <v>-41</v>
      </c>
      <c r="J29">
        <f t="shared" si="1"/>
        <v>5617.19</v>
      </c>
      <c r="K29" t="str" cm="1">
        <f t="array" ref="K29">_xlfn.IFS(I29&lt;0,"STOCK CRISIS",I29&lt;=F29,"REORDER",I29&gt;F29,"STABLE")</f>
        <v>STOCK CRISIS</v>
      </c>
      <c r="L29">
        <f t="shared" si="2"/>
        <v>3931.1899999999996</v>
      </c>
    </row>
    <row r="30" spans="1:12" x14ac:dyDescent="0.3">
      <c r="A30" t="s">
        <v>66</v>
      </c>
      <c r="B30" t="s">
        <v>1318</v>
      </c>
      <c r="C30" t="s">
        <v>51</v>
      </c>
      <c r="D30">
        <v>13</v>
      </c>
      <c r="E30">
        <v>34.99</v>
      </c>
      <c r="F30">
        <v>55</v>
      </c>
      <c r="G30">
        <v>190</v>
      </c>
      <c r="H30">
        <f>SUMIFS(Clean_Sales_Data!D:D,Clean_Sales_Data!C:C,Clean_Inventry_Master!A30)</f>
        <v>315</v>
      </c>
      <c r="I30">
        <f t="shared" si="0"/>
        <v>-125</v>
      </c>
      <c r="J30">
        <f t="shared" si="1"/>
        <v>11021.85</v>
      </c>
      <c r="K30" t="str" cm="1">
        <f t="array" ref="K30">_xlfn.IFS(I30&lt;0,"STOCK CRISIS",I30&lt;=F30,"REORDER",I30&gt;F30,"STABLE")</f>
        <v>STOCK CRISIS</v>
      </c>
      <c r="L30">
        <f t="shared" si="2"/>
        <v>6926.85</v>
      </c>
    </row>
    <row r="31" spans="1:12" x14ac:dyDescent="0.3">
      <c r="A31" t="s">
        <v>68</v>
      </c>
      <c r="B31" t="s">
        <v>1319</v>
      </c>
      <c r="C31" t="s">
        <v>51</v>
      </c>
      <c r="D31">
        <v>16</v>
      </c>
      <c r="E31">
        <v>42.5</v>
      </c>
      <c r="F31">
        <v>30</v>
      </c>
      <c r="G31">
        <v>100</v>
      </c>
      <c r="H31">
        <f>SUMIFS(Clean_Sales_Data!D:D,Clean_Sales_Data!C:C,Clean_Inventry_Master!A31)</f>
        <v>153</v>
      </c>
      <c r="I31">
        <f t="shared" si="0"/>
        <v>-53</v>
      </c>
      <c r="J31">
        <f t="shared" si="1"/>
        <v>6502.5</v>
      </c>
      <c r="K31" t="str" cm="1">
        <f t="array" ref="K31">_xlfn.IFS(I31&lt;0,"STOCK CRISIS",I31&lt;=F31,"REORDER",I31&gt;F31,"STABLE")</f>
        <v>STOCK CRISIS</v>
      </c>
      <c r="L31">
        <f t="shared" si="2"/>
        <v>4054.5</v>
      </c>
    </row>
    <row r="33" spans="11:12" x14ac:dyDescent="0.3">
      <c r="K33">
        <f>COUNTIF(K2:K31,"STOCK CRISIS")</f>
        <v>19</v>
      </c>
      <c r="L33" s="7">
        <f>SUM(L2:L31)</f>
        <v>354752.4499999999</v>
      </c>
    </row>
    <row r="35" spans="11:12" x14ac:dyDescent="0.3">
      <c r="K35">
        <f>COUNTIF(K2:K31,"REORDER")</f>
        <v>4</v>
      </c>
    </row>
  </sheetData>
  <dataValidations count="1">
    <dataValidation type="list" allowBlank="1" showInputMessage="1" showErrorMessage="1" sqref="C1:C1048576" xr:uid="{8DBDDD0E-C93D-43CC-B4D7-20F69D170FCB}">
      <formula1>$C$2:$C$31</formula1>
    </dataValidation>
  </dataValidations>
  <pageMargins left="0.7" right="0.7" top="0.75" bottom="0.75" header="0.3" footer="0.3"/>
  <pageSetup orientation="portrait" r:id="rId1"/>
  <tableParts count="1">
    <tablePart r:id="rId2"/>
  </tableParts>
  <extLst>
    <ext xmlns:x14="http://schemas.microsoft.com/office/spreadsheetml/2009/9/main" uri="{78C0D931-6437-407d-A8EE-F0AAD7539E65}">
      <x14:conditionalFormattings>
        <x14:conditionalFormatting xmlns:xm="http://schemas.microsoft.com/office/excel/2006/main">
          <x14:cfRule type="containsText" priority="1" operator="containsText" id="{679D79E2-EFCE-4992-AE0A-CC184A878BFB}">
            <xm:f>NOT(ISERROR(SEARCH($K$4,K1)))</xm:f>
            <xm:f>$K$4</xm:f>
            <x14:dxf>
              <font>
                <color rgb="FF9C5700"/>
              </font>
              <fill>
                <patternFill>
                  <bgColor rgb="FFFFEB9C"/>
                </patternFill>
              </fill>
            </x14:dxf>
          </x14:cfRule>
          <x14:cfRule type="containsText" priority="2" operator="containsText" id="{063967A3-5B25-47C6-919F-DE6333C3338C}">
            <xm:f>NOT(ISERROR(SEARCH($K$3,K1)))</xm:f>
            <xm:f>$K$3</xm:f>
            <x14:dxf>
              <font>
                <color rgb="FF9C0006"/>
              </font>
              <fill>
                <patternFill>
                  <bgColor rgb="FFFFC7CE"/>
                </patternFill>
              </fill>
            </x14:dxf>
          </x14:cfRule>
          <xm:sqref>K1:K1048576</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31"/>
  <sheetViews>
    <sheetView workbookViewId="0">
      <selection activeCell="C4" sqref="C4"/>
    </sheetView>
  </sheetViews>
  <sheetFormatPr defaultRowHeight="14.4" x14ac:dyDescent="0.3"/>
  <cols>
    <col min="1" max="1" width="11.77734375" customWidth="1"/>
    <col min="2" max="2" width="25.21875" bestFit="1" customWidth="1"/>
    <col min="3" max="3" width="13.109375" bestFit="1" customWidth="1"/>
    <col min="4" max="4" width="10.5546875" customWidth="1"/>
    <col min="5" max="5" width="12.88671875" customWidth="1"/>
    <col min="6" max="6" width="18.109375" customWidth="1"/>
    <col min="7" max="7" width="14.5546875" customWidth="1"/>
    <col min="10" max="10" width="10.44140625" customWidth="1"/>
  </cols>
  <sheetData>
    <row r="1" spans="1:7" x14ac:dyDescent="0.3">
      <c r="A1" s="1" t="s">
        <v>0</v>
      </c>
      <c r="B1" s="1" t="s">
        <v>1</v>
      </c>
      <c r="C1" s="1" t="s">
        <v>2</v>
      </c>
      <c r="D1" s="1" t="s">
        <v>3</v>
      </c>
      <c r="E1" s="1" t="s">
        <v>4</v>
      </c>
      <c r="F1" s="1" t="s">
        <v>5</v>
      </c>
      <c r="G1" s="1" t="s">
        <v>6</v>
      </c>
    </row>
    <row r="2" spans="1:7" x14ac:dyDescent="0.3">
      <c r="A2" t="s">
        <v>7</v>
      </c>
      <c r="B2" t="s">
        <v>8</v>
      </c>
      <c r="C2" t="s">
        <v>9</v>
      </c>
      <c r="D2">
        <v>15</v>
      </c>
      <c r="E2">
        <v>45</v>
      </c>
      <c r="F2">
        <v>150</v>
      </c>
      <c r="G2">
        <v>600</v>
      </c>
    </row>
    <row r="3" spans="1:7" x14ac:dyDescent="0.3">
      <c r="A3" t="s">
        <v>10</v>
      </c>
      <c r="B3" t="s">
        <v>11</v>
      </c>
      <c r="C3" t="s">
        <v>9</v>
      </c>
      <c r="D3">
        <v>210</v>
      </c>
      <c r="E3">
        <v>499</v>
      </c>
      <c r="F3">
        <v>25</v>
      </c>
      <c r="G3">
        <v>80</v>
      </c>
    </row>
    <row r="4" spans="1:7" x14ac:dyDescent="0.3">
      <c r="A4" t="s">
        <v>12</v>
      </c>
      <c r="B4" t="s">
        <v>13</v>
      </c>
      <c r="C4" t="s">
        <v>9</v>
      </c>
      <c r="D4">
        <v>40</v>
      </c>
      <c r="E4">
        <v>95</v>
      </c>
      <c r="F4">
        <v>60</v>
      </c>
      <c r="G4">
        <v>200</v>
      </c>
    </row>
    <row r="5" spans="1:7" x14ac:dyDescent="0.3">
      <c r="A5" t="s">
        <v>14</v>
      </c>
      <c r="B5" t="s">
        <v>15</v>
      </c>
      <c r="C5" t="s">
        <v>9</v>
      </c>
      <c r="D5">
        <v>12</v>
      </c>
      <c r="E5">
        <v>35</v>
      </c>
      <c r="F5">
        <v>75</v>
      </c>
      <c r="G5">
        <v>250</v>
      </c>
    </row>
    <row r="6" spans="1:7" x14ac:dyDescent="0.3">
      <c r="A6" t="s">
        <v>16</v>
      </c>
      <c r="B6" t="s">
        <v>17</v>
      </c>
      <c r="C6" t="s">
        <v>9</v>
      </c>
      <c r="D6">
        <v>85</v>
      </c>
      <c r="E6">
        <v>229</v>
      </c>
      <c r="F6">
        <v>30</v>
      </c>
      <c r="G6">
        <v>95</v>
      </c>
    </row>
    <row r="7" spans="1:7" x14ac:dyDescent="0.3">
      <c r="A7" t="s">
        <v>18</v>
      </c>
      <c r="B7" t="s">
        <v>19</v>
      </c>
      <c r="C7" t="s">
        <v>9</v>
      </c>
      <c r="D7">
        <v>25</v>
      </c>
      <c r="E7">
        <v>69.989999999999995</v>
      </c>
      <c r="F7">
        <v>50</v>
      </c>
      <c r="G7">
        <v>180</v>
      </c>
    </row>
    <row r="8" spans="1:7" x14ac:dyDescent="0.3">
      <c r="A8" t="s">
        <v>20</v>
      </c>
      <c r="B8" t="s">
        <v>21</v>
      </c>
      <c r="C8" t="s">
        <v>9</v>
      </c>
      <c r="D8">
        <v>30</v>
      </c>
      <c r="E8">
        <v>79.989999999999995</v>
      </c>
      <c r="F8">
        <v>40</v>
      </c>
      <c r="G8">
        <v>150</v>
      </c>
    </row>
    <row r="9" spans="1:7" x14ac:dyDescent="0.3">
      <c r="A9" t="s">
        <v>22</v>
      </c>
      <c r="B9" t="s">
        <v>23</v>
      </c>
      <c r="C9" t="s">
        <v>9</v>
      </c>
      <c r="D9">
        <v>45</v>
      </c>
      <c r="E9">
        <v>119.99</v>
      </c>
      <c r="F9">
        <v>35</v>
      </c>
      <c r="G9">
        <v>110</v>
      </c>
    </row>
    <row r="10" spans="1:7" x14ac:dyDescent="0.3">
      <c r="A10" t="s">
        <v>24</v>
      </c>
      <c r="B10" t="s">
        <v>25</v>
      </c>
      <c r="C10" t="s">
        <v>9</v>
      </c>
      <c r="D10">
        <v>55</v>
      </c>
      <c r="E10">
        <v>139.99</v>
      </c>
      <c r="F10">
        <v>45</v>
      </c>
      <c r="G10">
        <v>160</v>
      </c>
    </row>
    <row r="11" spans="1:7" x14ac:dyDescent="0.3">
      <c r="A11" t="s">
        <v>26</v>
      </c>
      <c r="B11" t="s">
        <v>27</v>
      </c>
      <c r="C11" t="s">
        <v>9</v>
      </c>
      <c r="D11">
        <v>35</v>
      </c>
      <c r="E11">
        <v>89.99</v>
      </c>
      <c r="F11">
        <v>40</v>
      </c>
      <c r="G11">
        <v>130</v>
      </c>
    </row>
    <row r="12" spans="1:7" x14ac:dyDescent="0.3">
      <c r="A12" t="s">
        <v>28</v>
      </c>
      <c r="B12" t="s">
        <v>29</v>
      </c>
      <c r="C12" t="s">
        <v>30</v>
      </c>
      <c r="D12">
        <v>65</v>
      </c>
      <c r="E12">
        <v>180</v>
      </c>
      <c r="F12">
        <v>40</v>
      </c>
      <c r="G12">
        <v>120</v>
      </c>
    </row>
    <row r="13" spans="1:7" x14ac:dyDescent="0.3">
      <c r="A13" t="s">
        <v>31</v>
      </c>
      <c r="B13" t="s">
        <v>32</v>
      </c>
      <c r="C13" t="s">
        <v>30</v>
      </c>
      <c r="D13">
        <v>4.5</v>
      </c>
      <c r="E13">
        <v>15</v>
      </c>
      <c r="F13">
        <v>100</v>
      </c>
      <c r="G13">
        <v>400</v>
      </c>
    </row>
    <row r="14" spans="1:7" x14ac:dyDescent="0.3">
      <c r="A14" t="s">
        <v>33</v>
      </c>
      <c r="B14" t="s">
        <v>34</v>
      </c>
      <c r="C14" t="s">
        <v>30</v>
      </c>
      <c r="D14">
        <v>8</v>
      </c>
      <c r="E14">
        <v>24</v>
      </c>
      <c r="F14">
        <v>50</v>
      </c>
      <c r="G14">
        <v>150</v>
      </c>
    </row>
    <row r="15" spans="1:7" x14ac:dyDescent="0.3">
      <c r="A15" t="s">
        <v>35</v>
      </c>
      <c r="B15" t="s">
        <v>36</v>
      </c>
      <c r="C15" t="s">
        <v>30</v>
      </c>
      <c r="D15">
        <v>3</v>
      </c>
      <c r="E15">
        <v>9.99</v>
      </c>
      <c r="F15">
        <v>120</v>
      </c>
      <c r="G15">
        <v>500</v>
      </c>
    </row>
    <row r="16" spans="1:7" x14ac:dyDescent="0.3">
      <c r="A16" t="s">
        <v>37</v>
      </c>
      <c r="B16" t="s">
        <v>38</v>
      </c>
      <c r="C16" t="s">
        <v>30</v>
      </c>
      <c r="D16">
        <v>18</v>
      </c>
      <c r="E16">
        <v>45</v>
      </c>
      <c r="F16">
        <v>30</v>
      </c>
      <c r="G16">
        <v>90</v>
      </c>
    </row>
    <row r="17" spans="1:7" x14ac:dyDescent="0.3">
      <c r="A17" t="s">
        <v>39</v>
      </c>
      <c r="B17" t="s">
        <v>40</v>
      </c>
      <c r="C17" t="s">
        <v>30</v>
      </c>
      <c r="D17">
        <v>7.5</v>
      </c>
      <c r="E17">
        <v>21.99</v>
      </c>
      <c r="F17">
        <v>40</v>
      </c>
      <c r="G17">
        <v>140</v>
      </c>
    </row>
    <row r="18" spans="1:7" x14ac:dyDescent="0.3">
      <c r="A18" t="s">
        <v>41</v>
      </c>
      <c r="B18" t="s">
        <v>42</v>
      </c>
      <c r="C18" t="s">
        <v>30</v>
      </c>
      <c r="D18">
        <v>14</v>
      </c>
      <c r="E18">
        <v>39.99</v>
      </c>
      <c r="F18">
        <v>35</v>
      </c>
      <c r="G18">
        <v>110</v>
      </c>
    </row>
    <row r="19" spans="1:7" x14ac:dyDescent="0.3">
      <c r="A19" t="s">
        <v>43</v>
      </c>
      <c r="B19" t="s">
        <v>44</v>
      </c>
      <c r="C19" t="s">
        <v>30</v>
      </c>
      <c r="D19">
        <v>2.5</v>
      </c>
      <c r="E19">
        <v>8.5</v>
      </c>
      <c r="F19">
        <v>60</v>
      </c>
      <c r="G19">
        <v>200</v>
      </c>
    </row>
    <row r="20" spans="1:7" x14ac:dyDescent="0.3">
      <c r="A20" t="s">
        <v>45</v>
      </c>
      <c r="B20" t="s">
        <v>46</v>
      </c>
      <c r="C20" t="s">
        <v>30</v>
      </c>
      <c r="D20">
        <v>6</v>
      </c>
      <c r="E20">
        <v>18.989999999999998</v>
      </c>
      <c r="F20">
        <v>80</v>
      </c>
      <c r="G20">
        <v>250</v>
      </c>
    </row>
    <row r="21" spans="1:7" x14ac:dyDescent="0.3">
      <c r="A21" t="s">
        <v>47</v>
      </c>
      <c r="B21" t="s">
        <v>48</v>
      </c>
      <c r="C21" t="s">
        <v>30</v>
      </c>
      <c r="D21">
        <v>45</v>
      </c>
      <c r="E21">
        <v>129.99</v>
      </c>
      <c r="F21">
        <v>20</v>
      </c>
      <c r="G21">
        <v>65</v>
      </c>
    </row>
    <row r="22" spans="1:7" x14ac:dyDescent="0.3">
      <c r="A22" t="s">
        <v>49</v>
      </c>
      <c r="B22" t="s">
        <v>50</v>
      </c>
      <c r="C22" t="s">
        <v>51</v>
      </c>
      <c r="D22">
        <v>18</v>
      </c>
      <c r="E22">
        <v>49.99</v>
      </c>
      <c r="F22">
        <v>70</v>
      </c>
      <c r="G22">
        <v>220</v>
      </c>
    </row>
    <row r="23" spans="1:7" x14ac:dyDescent="0.3">
      <c r="A23" t="s">
        <v>52</v>
      </c>
      <c r="B23" t="s">
        <v>53</v>
      </c>
      <c r="C23" t="s">
        <v>51</v>
      </c>
      <c r="D23">
        <v>9</v>
      </c>
      <c r="E23">
        <v>29.99</v>
      </c>
      <c r="F23">
        <v>80</v>
      </c>
      <c r="G23">
        <v>300</v>
      </c>
    </row>
    <row r="24" spans="1:7" x14ac:dyDescent="0.3">
      <c r="A24" t="s">
        <v>54</v>
      </c>
      <c r="B24" t="s">
        <v>55</v>
      </c>
      <c r="C24" t="s">
        <v>51</v>
      </c>
      <c r="D24">
        <v>140</v>
      </c>
      <c r="E24">
        <v>349.99</v>
      </c>
      <c r="F24">
        <v>15</v>
      </c>
      <c r="G24">
        <v>50</v>
      </c>
    </row>
    <row r="25" spans="1:7" x14ac:dyDescent="0.3">
      <c r="A25" t="s">
        <v>56</v>
      </c>
      <c r="B25" t="s">
        <v>57</v>
      </c>
      <c r="C25" t="s">
        <v>51</v>
      </c>
      <c r="D25">
        <v>11.5</v>
      </c>
      <c r="E25">
        <v>29.99</v>
      </c>
      <c r="F25">
        <v>50</v>
      </c>
      <c r="G25">
        <v>175</v>
      </c>
    </row>
    <row r="26" spans="1:7" x14ac:dyDescent="0.3">
      <c r="A26" t="s">
        <v>58</v>
      </c>
      <c r="B26" t="s">
        <v>59</v>
      </c>
      <c r="C26" t="s">
        <v>51</v>
      </c>
      <c r="D26">
        <v>22</v>
      </c>
      <c r="E26">
        <v>59.99</v>
      </c>
      <c r="F26">
        <v>40</v>
      </c>
      <c r="G26">
        <v>130</v>
      </c>
    </row>
    <row r="27" spans="1:7" x14ac:dyDescent="0.3">
      <c r="A27" t="s">
        <v>60</v>
      </c>
      <c r="B27" t="s">
        <v>61</v>
      </c>
      <c r="C27" t="s">
        <v>51</v>
      </c>
      <c r="D27">
        <v>35</v>
      </c>
      <c r="E27">
        <v>89.99</v>
      </c>
      <c r="F27">
        <v>25</v>
      </c>
      <c r="G27">
        <v>85</v>
      </c>
    </row>
    <row r="28" spans="1:7" x14ac:dyDescent="0.3">
      <c r="A28" t="s">
        <v>62</v>
      </c>
      <c r="B28" t="s">
        <v>63</v>
      </c>
      <c r="C28" t="s">
        <v>51</v>
      </c>
      <c r="D28">
        <v>9.5</v>
      </c>
      <c r="E28">
        <v>27.5</v>
      </c>
      <c r="F28">
        <v>60</v>
      </c>
      <c r="G28">
        <v>210</v>
      </c>
    </row>
    <row r="29" spans="1:7" x14ac:dyDescent="0.3">
      <c r="A29" t="s">
        <v>64</v>
      </c>
      <c r="B29" t="s">
        <v>65</v>
      </c>
      <c r="C29" t="s">
        <v>51</v>
      </c>
      <c r="D29">
        <v>6</v>
      </c>
      <c r="E29">
        <v>19.989999999999998</v>
      </c>
      <c r="F29">
        <v>70</v>
      </c>
      <c r="G29">
        <v>240</v>
      </c>
    </row>
    <row r="30" spans="1:7" x14ac:dyDescent="0.3">
      <c r="A30" t="s">
        <v>66</v>
      </c>
      <c r="B30" t="s">
        <v>67</v>
      </c>
      <c r="C30" t="s">
        <v>51</v>
      </c>
      <c r="D30">
        <v>13</v>
      </c>
      <c r="E30">
        <v>34.99</v>
      </c>
      <c r="F30">
        <v>55</v>
      </c>
      <c r="G30">
        <v>190</v>
      </c>
    </row>
    <row r="31" spans="1:7" x14ac:dyDescent="0.3">
      <c r="A31" t="s">
        <v>68</v>
      </c>
      <c r="B31" t="s">
        <v>69</v>
      </c>
      <c r="C31" t="s">
        <v>51</v>
      </c>
      <c r="D31">
        <v>16</v>
      </c>
      <c r="E31">
        <v>42.5</v>
      </c>
      <c r="F31">
        <v>30</v>
      </c>
      <c r="G31">
        <v>100</v>
      </c>
    </row>
  </sheetData>
  <pageMargins left="0.75" right="0.75" top="1" bottom="1" header="0.5" footer="0.5"/>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36739A-D363-4F68-9E94-67268EAAB77A}">
  <dimension ref="A1:F851"/>
  <sheetViews>
    <sheetView workbookViewId="0">
      <selection activeCell="G25" sqref="G25"/>
    </sheetView>
  </sheetViews>
  <sheetFormatPr defaultRowHeight="14.4" x14ac:dyDescent="0.3"/>
  <cols>
    <col min="1" max="1" width="14.88671875" customWidth="1"/>
    <col min="2" max="2" width="10.5546875" bestFit="1" customWidth="1"/>
    <col min="3" max="3" width="11.77734375" customWidth="1"/>
    <col min="4" max="4" width="14.33203125" customWidth="1"/>
    <col min="5" max="5" width="12.88671875" bestFit="1" customWidth="1"/>
    <col min="6" max="6" width="14.44140625" customWidth="1"/>
  </cols>
  <sheetData>
    <row r="1" spans="1:6" x14ac:dyDescent="0.3">
      <c r="A1" s="1" t="s">
        <v>70</v>
      </c>
      <c r="B1" s="1" t="s">
        <v>71</v>
      </c>
      <c r="C1" s="1" t="s">
        <v>0</v>
      </c>
      <c r="D1" s="1" t="s">
        <v>72</v>
      </c>
      <c r="E1" s="1" t="s">
        <v>73</v>
      </c>
      <c r="F1" s="1" t="s">
        <v>74</v>
      </c>
    </row>
    <row r="2" spans="1:6" x14ac:dyDescent="0.3">
      <c r="A2" t="s">
        <v>75</v>
      </c>
      <c r="B2" t="s">
        <v>76</v>
      </c>
      <c r="C2" t="s">
        <v>62</v>
      </c>
      <c r="D2">
        <v>14</v>
      </c>
      <c r="E2" t="s">
        <v>77</v>
      </c>
      <c r="F2" t="s">
        <v>78</v>
      </c>
    </row>
    <row r="3" spans="1:6" x14ac:dyDescent="0.3">
      <c r="A3" t="s">
        <v>79</v>
      </c>
      <c r="B3" t="s">
        <v>80</v>
      </c>
      <c r="C3" t="s">
        <v>81</v>
      </c>
      <c r="D3">
        <v>10</v>
      </c>
      <c r="E3" t="s">
        <v>82</v>
      </c>
      <c r="F3" t="s">
        <v>83</v>
      </c>
    </row>
    <row r="4" spans="1:6" x14ac:dyDescent="0.3">
      <c r="A4" t="s">
        <v>84</v>
      </c>
      <c r="B4" t="s">
        <v>85</v>
      </c>
      <c r="C4" t="s">
        <v>10</v>
      </c>
      <c r="D4">
        <v>5</v>
      </c>
      <c r="E4" t="s">
        <v>86</v>
      </c>
      <c r="F4" t="s">
        <v>78</v>
      </c>
    </row>
    <row r="5" spans="1:6" x14ac:dyDescent="0.3">
      <c r="A5" t="s">
        <v>87</v>
      </c>
      <c r="B5" t="s">
        <v>88</v>
      </c>
      <c r="C5" t="s">
        <v>28</v>
      </c>
      <c r="D5">
        <v>13</v>
      </c>
      <c r="E5" t="s">
        <v>77</v>
      </c>
      <c r="F5" t="s">
        <v>78</v>
      </c>
    </row>
    <row r="6" spans="1:6" x14ac:dyDescent="0.3">
      <c r="A6" t="s">
        <v>89</v>
      </c>
      <c r="B6" t="s">
        <v>90</v>
      </c>
      <c r="C6" t="s">
        <v>43</v>
      </c>
      <c r="D6">
        <v>4</v>
      </c>
      <c r="E6" t="s">
        <v>91</v>
      </c>
      <c r="F6" t="s">
        <v>92</v>
      </c>
    </row>
    <row r="7" spans="1:6" x14ac:dyDescent="0.3">
      <c r="A7" t="s">
        <v>93</v>
      </c>
      <c r="B7" t="s">
        <v>94</v>
      </c>
      <c r="C7" t="s">
        <v>52</v>
      </c>
      <c r="D7">
        <v>1</v>
      </c>
      <c r="E7" t="s">
        <v>91</v>
      </c>
      <c r="F7" t="s">
        <v>78</v>
      </c>
    </row>
    <row r="8" spans="1:6" x14ac:dyDescent="0.3">
      <c r="A8" t="s">
        <v>95</v>
      </c>
      <c r="B8" t="s">
        <v>96</v>
      </c>
      <c r="C8" t="s">
        <v>33</v>
      </c>
      <c r="D8">
        <v>7</v>
      </c>
      <c r="E8" t="s">
        <v>82</v>
      </c>
      <c r="F8" t="s">
        <v>92</v>
      </c>
    </row>
    <row r="9" spans="1:6" x14ac:dyDescent="0.3">
      <c r="A9" t="s">
        <v>97</v>
      </c>
      <c r="B9" t="s">
        <v>98</v>
      </c>
      <c r="C9" t="s">
        <v>68</v>
      </c>
      <c r="D9">
        <v>4</v>
      </c>
      <c r="E9" t="s">
        <v>77</v>
      </c>
      <c r="F9" t="s">
        <v>92</v>
      </c>
    </row>
    <row r="10" spans="1:6" x14ac:dyDescent="0.3">
      <c r="A10" t="s">
        <v>99</v>
      </c>
      <c r="B10" t="s">
        <v>100</v>
      </c>
      <c r="C10" t="s">
        <v>18</v>
      </c>
      <c r="D10">
        <v>14</v>
      </c>
      <c r="E10" t="s">
        <v>86</v>
      </c>
      <c r="F10" t="s">
        <v>83</v>
      </c>
    </row>
    <row r="11" spans="1:6" x14ac:dyDescent="0.3">
      <c r="A11" t="s">
        <v>101</v>
      </c>
      <c r="B11" t="s">
        <v>102</v>
      </c>
      <c r="C11" t="s">
        <v>24</v>
      </c>
      <c r="D11">
        <v>12</v>
      </c>
      <c r="E11" t="s">
        <v>91</v>
      </c>
      <c r="F11" t="s">
        <v>78</v>
      </c>
    </row>
    <row r="12" spans="1:6" x14ac:dyDescent="0.3">
      <c r="A12" t="s">
        <v>103</v>
      </c>
      <c r="B12" t="s">
        <v>104</v>
      </c>
      <c r="C12" t="s">
        <v>105</v>
      </c>
      <c r="D12">
        <v>10</v>
      </c>
      <c r="E12" t="s">
        <v>77</v>
      </c>
      <c r="F12" t="s">
        <v>92</v>
      </c>
    </row>
    <row r="13" spans="1:6" x14ac:dyDescent="0.3">
      <c r="A13" t="s">
        <v>106</v>
      </c>
      <c r="B13" t="s">
        <v>107</v>
      </c>
      <c r="C13" t="s">
        <v>24</v>
      </c>
      <c r="D13">
        <v>4</v>
      </c>
      <c r="E13" t="s">
        <v>86</v>
      </c>
      <c r="F13" t="s">
        <v>78</v>
      </c>
    </row>
    <row r="14" spans="1:6" x14ac:dyDescent="0.3">
      <c r="A14" t="s">
        <v>108</v>
      </c>
      <c r="B14" t="s">
        <v>109</v>
      </c>
      <c r="C14" t="s">
        <v>66</v>
      </c>
      <c r="D14">
        <v>3</v>
      </c>
      <c r="E14" t="s">
        <v>91</v>
      </c>
      <c r="F14" t="s">
        <v>83</v>
      </c>
    </row>
    <row r="15" spans="1:6" x14ac:dyDescent="0.3">
      <c r="A15" t="s">
        <v>110</v>
      </c>
      <c r="B15" t="s">
        <v>111</v>
      </c>
      <c r="C15" t="s">
        <v>54</v>
      </c>
      <c r="D15">
        <v>4</v>
      </c>
      <c r="E15" t="s">
        <v>82</v>
      </c>
      <c r="F15" t="s">
        <v>78</v>
      </c>
    </row>
    <row r="16" spans="1:6" x14ac:dyDescent="0.3">
      <c r="A16" t="s">
        <v>112</v>
      </c>
      <c r="B16" t="s">
        <v>113</v>
      </c>
      <c r="C16" t="s">
        <v>37</v>
      </c>
      <c r="D16">
        <v>14</v>
      </c>
      <c r="E16" t="s">
        <v>86</v>
      </c>
      <c r="F16" t="s">
        <v>78</v>
      </c>
    </row>
    <row r="17" spans="1:6" x14ac:dyDescent="0.3">
      <c r="A17" t="s">
        <v>114</v>
      </c>
      <c r="B17" t="s">
        <v>115</v>
      </c>
      <c r="C17" t="s">
        <v>116</v>
      </c>
      <c r="D17">
        <v>14</v>
      </c>
      <c r="E17" t="s">
        <v>82</v>
      </c>
      <c r="F17" t="s">
        <v>92</v>
      </c>
    </row>
    <row r="18" spans="1:6" x14ac:dyDescent="0.3">
      <c r="A18" t="s">
        <v>117</v>
      </c>
      <c r="B18" t="s">
        <v>118</v>
      </c>
      <c r="C18" t="s">
        <v>119</v>
      </c>
      <c r="D18">
        <v>10</v>
      </c>
      <c r="E18" t="s">
        <v>91</v>
      </c>
      <c r="F18" t="s">
        <v>78</v>
      </c>
    </row>
    <row r="19" spans="1:6" x14ac:dyDescent="0.3">
      <c r="A19" t="s">
        <v>120</v>
      </c>
      <c r="B19" t="s">
        <v>121</v>
      </c>
      <c r="C19" t="s">
        <v>122</v>
      </c>
      <c r="D19">
        <v>4</v>
      </c>
      <c r="E19" t="s">
        <v>82</v>
      </c>
      <c r="F19" t="s">
        <v>83</v>
      </c>
    </row>
    <row r="20" spans="1:6" x14ac:dyDescent="0.3">
      <c r="A20" t="s">
        <v>123</v>
      </c>
      <c r="B20" t="s">
        <v>124</v>
      </c>
      <c r="C20" t="s">
        <v>37</v>
      </c>
      <c r="D20">
        <v>5</v>
      </c>
      <c r="E20" t="s">
        <v>82</v>
      </c>
      <c r="F20" t="s">
        <v>83</v>
      </c>
    </row>
    <row r="21" spans="1:6" x14ac:dyDescent="0.3">
      <c r="A21" t="s">
        <v>125</v>
      </c>
      <c r="B21" t="s">
        <v>126</v>
      </c>
      <c r="C21" t="s">
        <v>56</v>
      </c>
      <c r="D21">
        <v>2</v>
      </c>
      <c r="E21" t="s">
        <v>82</v>
      </c>
      <c r="F21" t="s">
        <v>92</v>
      </c>
    </row>
    <row r="22" spans="1:6" x14ac:dyDescent="0.3">
      <c r="A22" t="s">
        <v>127</v>
      </c>
      <c r="B22" t="s">
        <v>128</v>
      </c>
      <c r="C22" t="s">
        <v>14</v>
      </c>
      <c r="D22">
        <v>10</v>
      </c>
      <c r="E22" t="s">
        <v>77</v>
      </c>
      <c r="F22" t="s">
        <v>92</v>
      </c>
    </row>
    <row r="23" spans="1:6" x14ac:dyDescent="0.3">
      <c r="A23" t="s">
        <v>129</v>
      </c>
      <c r="B23" t="s">
        <v>130</v>
      </c>
      <c r="C23" t="s">
        <v>22</v>
      </c>
      <c r="D23">
        <v>2</v>
      </c>
      <c r="E23" t="s">
        <v>82</v>
      </c>
      <c r="F23" t="s">
        <v>78</v>
      </c>
    </row>
    <row r="24" spans="1:6" x14ac:dyDescent="0.3">
      <c r="A24" t="s">
        <v>131</v>
      </c>
      <c r="B24" t="s">
        <v>132</v>
      </c>
      <c r="C24" t="s">
        <v>54</v>
      </c>
      <c r="D24">
        <v>3</v>
      </c>
      <c r="E24" t="s">
        <v>77</v>
      </c>
      <c r="F24" t="s">
        <v>83</v>
      </c>
    </row>
    <row r="25" spans="1:6" x14ac:dyDescent="0.3">
      <c r="A25" t="s">
        <v>133</v>
      </c>
      <c r="B25" t="s">
        <v>134</v>
      </c>
      <c r="C25" t="s">
        <v>33</v>
      </c>
      <c r="D25">
        <v>11</v>
      </c>
      <c r="E25" t="s">
        <v>91</v>
      </c>
      <c r="F25" t="s">
        <v>83</v>
      </c>
    </row>
    <row r="26" spans="1:6" x14ac:dyDescent="0.3">
      <c r="A26" t="s">
        <v>135</v>
      </c>
      <c r="B26" t="s">
        <v>136</v>
      </c>
      <c r="C26" t="s">
        <v>41</v>
      </c>
      <c r="D26">
        <v>1</v>
      </c>
      <c r="E26" t="s">
        <v>82</v>
      </c>
      <c r="F26" t="s">
        <v>92</v>
      </c>
    </row>
    <row r="27" spans="1:6" x14ac:dyDescent="0.3">
      <c r="A27" t="s">
        <v>137</v>
      </c>
      <c r="B27" t="s">
        <v>138</v>
      </c>
      <c r="C27" t="s">
        <v>22</v>
      </c>
      <c r="D27">
        <v>7</v>
      </c>
      <c r="E27" t="s">
        <v>86</v>
      </c>
      <c r="F27" t="s">
        <v>83</v>
      </c>
    </row>
    <row r="28" spans="1:6" x14ac:dyDescent="0.3">
      <c r="A28" t="s">
        <v>139</v>
      </c>
      <c r="B28" t="s">
        <v>96</v>
      </c>
      <c r="C28" t="s">
        <v>28</v>
      </c>
      <c r="D28">
        <v>13</v>
      </c>
      <c r="E28" t="s">
        <v>86</v>
      </c>
      <c r="F28" t="s">
        <v>92</v>
      </c>
    </row>
    <row r="29" spans="1:6" x14ac:dyDescent="0.3">
      <c r="A29" t="s">
        <v>140</v>
      </c>
      <c r="B29" t="s">
        <v>141</v>
      </c>
      <c r="C29" t="s">
        <v>35</v>
      </c>
      <c r="D29">
        <v>3</v>
      </c>
      <c r="E29" t="s">
        <v>91</v>
      </c>
      <c r="F29" t="s">
        <v>92</v>
      </c>
    </row>
    <row r="30" spans="1:6" x14ac:dyDescent="0.3">
      <c r="A30" t="s">
        <v>142</v>
      </c>
      <c r="B30" t="s">
        <v>143</v>
      </c>
      <c r="C30" t="s">
        <v>58</v>
      </c>
      <c r="D30">
        <v>5</v>
      </c>
      <c r="E30" t="s">
        <v>91</v>
      </c>
      <c r="F30" t="s">
        <v>92</v>
      </c>
    </row>
    <row r="31" spans="1:6" x14ac:dyDescent="0.3">
      <c r="A31" t="s">
        <v>144</v>
      </c>
      <c r="B31" t="s">
        <v>145</v>
      </c>
      <c r="C31" t="s">
        <v>64</v>
      </c>
      <c r="D31">
        <v>14</v>
      </c>
      <c r="E31" t="s">
        <v>86</v>
      </c>
      <c r="F31" t="s">
        <v>83</v>
      </c>
    </row>
    <row r="32" spans="1:6" x14ac:dyDescent="0.3">
      <c r="A32" t="s">
        <v>146</v>
      </c>
      <c r="B32" t="s">
        <v>147</v>
      </c>
      <c r="C32" t="s">
        <v>39</v>
      </c>
      <c r="D32">
        <v>4</v>
      </c>
      <c r="E32" t="s">
        <v>77</v>
      </c>
      <c r="F32" t="s">
        <v>78</v>
      </c>
    </row>
    <row r="33" spans="1:6" x14ac:dyDescent="0.3">
      <c r="A33" t="s">
        <v>148</v>
      </c>
      <c r="B33" t="s">
        <v>149</v>
      </c>
      <c r="C33" t="s">
        <v>41</v>
      </c>
      <c r="D33">
        <v>3</v>
      </c>
      <c r="E33" t="s">
        <v>77</v>
      </c>
      <c r="F33" t="s">
        <v>83</v>
      </c>
    </row>
    <row r="34" spans="1:6" x14ac:dyDescent="0.3">
      <c r="A34" t="s">
        <v>150</v>
      </c>
      <c r="B34" t="s">
        <v>151</v>
      </c>
      <c r="C34" t="s">
        <v>20</v>
      </c>
      <c r="D34">
        <v>3</v>
      </c>
      <c r="E34" t="s">
        <v>91</v>
      </c>
      <c r="F34" t="s">
        <v>83</v>
      </c>
    </row>
    <row r="35" spans="1:6" x14ac:dyDescent="0.3">
      <c r="A35" t="s">
        <v>152</v>
      </c>
      <c r="B35" t="s">
        <v>153</v>
      </c>
      <c r="C35" t="s">
        <v>28</v>
      </c>
      <c r="D35">
        <v>2</v>
      </c>
      <c r="E35" t="s">
        <v>77</v>
      </c>
      <c r="F35" t="s">
        <v>83</v>
      </c>
    </row>
    <row r="36" spans="1:6" x14ac:dyDescent="0.3">
      <c r="A36" t="s">
        <v>154</v>
      </c>
      <c r="B36" t="s">
        <v>155</v>
      </c>
      <c r="C36" t="s">
        <v>22</v>
      </c>
      <c r="D36">
        <v>7</v>
      </c>
      <c r="E36" t="s">
        <v>77</v>
      </c>
      <c r="F36" t="s">
        <v>78</v>
      </c>
    </row>
    <row r="37" spans="1:6" x14ac:dyDescent="0.3">
      <c r="A37" t="s">
        <v>156</v>
      </c>
      <c r="B37" t="s">
        <v>157</v>
      </c>
      <c r="C37" t="s">
        <v>24</v>
      </c>
      <c r="D37">
        <v>1</v>
      </c>
      <c r="E37" t="s">
        <v>77</v>
      </c>
      <c r="F37" t="s">
        <v>78</v>
      </c>
    </row>
    <row r="38" spans="1:6" x14ac:dyDescent="0.3">
      <c r="A38" t="s">
        <v>158</v>
      </c>
      <c r="B38" t="s">
        <v>159</v>
      </c>
      <c r="C38" t="s">
        <v>24</v>
      </c>
      <c r="D38">
        <v>5</v>
      </c>
      <c r="E38" t="s">
        <v>77</v>
      </c>
      <c r="F38" t="s">
        <v>92</v>
      </c>
    </row>
    <row r="39" spans="1:6" x14ac:dyDescent="0.3">
      <c r="A39" t="s">
        <v>160</v>
      </c>
      <c r="B39" t="s">
        <v>107</v>
      </c>
      <c r="C39" t="s">
        <v>20</v>
      </c>
      <c r="D39">
        <v>2</v>
      </c>
      <c r="E39" t="s">
        <v>77</v>
      </c>
      <c r="F39" t="s">
        <v>92</v>
      </c>
    </row>
    <row r="40" spans="1:6" x14ac:dyDescent="0.3">
      <c r="A40" t="s">
        <v>161</v>
      </c>
      <c r="B40" t="s">
        <v>162</v>
      </c>
      <c r="C40" t="s">
        <v>62</v>
      </c>
      <c r="D40">
        <v>5</v>
      </c>
      <c r="E40" t="s">
        <v>77</v>
      </c>
      <c r="F40" t="s">
        <v>92</v>
      </c>
    </row>
    <row r="41" spans="1:6" x14ac:dyDescent="0.3">
      <c r="A41" t="s">
        <v>163</v>
      </c>
      <c r="B41" t="s">
        <v>164</v>
      </c>
      <c r="C41" t="s">
        <v>165</v>
      </c>
      <c r="D41">
        <v>5</v>
      </c>
      <c r="E41" t="s">
        <v>82</v>
      </c>
      <c r="F41" t="s">
        <v>92</v>
      </c>
    </row>
    <row r="42" spans="1:6" x14ac:dyDescent="0.3">
      <c r="A42" t="s">
        <v>166</v>
      </c>
      <c r="B42" t="s">
        <v>167</v>
      </c>
      <c r="C42" t="s">
        <v>14</v>
      </c>
      <c r="D42">
        <v>12</v>
      </c>
      <c r="E42" t="s">
        <v>77</v>
      </c>
      <c r="F42" t="s">
        <v>92</v>
      </c>
    </row>
    <row r="43" spans="1:6" x14ac:dyDescent="0.3">
      <c r="A43" t="s">
        <v>168</v>
      </c>
      <c r="B43" t="s">
        <v>169</v>
      </c>
      <c r="C43" t="s">
        <v>14</v>
      </c>
      <c r="D43">
        <v>7</v>
      </c>
      <c r="E43" t="s">
        <v>86</v>
      </c>
      <c r="F43" t="s">
        <v>78</v>
      </c>
    </row>
    <row r="44" spans="1:6" x14ac:dyDescent="0.3">
      <c r="A44" t="s">
        <v>170</v>
      </c>
      <c r="B44" t="s">
        <v>171</v>
      </c>
      <c r="C44" t="s">
        <v>66</v>
      </c>
      <c r="D44">
        <v>2</v>
      </c>
      <c r="E44" t="s">
        <v>91</v>
      </c>
      <c r="F44" t="s">
        <v>92</v>
      </c>
    </row>
    <row r="45" spans="1:6" x14ac:dyDescent="0.3">
      <c r="A45" t="s">
        <v>172</v>
      </c>
      <c r="B45" t="s">
        <v>173</v>
      </c>
      <c r="C45" t="s">
        <v>56</v>
      </c>
      <c r="D45">
        <v>4</v>
      </c>
      <c r="E45" t="s">
        <v>86</v>
      </c>
      <c r="F45" t="s">
        <v>83</v>
      </c>
    </row>
    <row r="46" spans="1:6" x14ac:dyDescent="0.3">
      <c r="A46" t="s">
        <v>174</v>
      </c>
      <c r="B46" t="s">
        <v>175</v>
      </c>
      <c r="C46" t="s">
        <v>47</v>
      </c>
      <c r="D46">
        <v>13</v>
      </c>
      <c r="E46" t="s">
        <v>86</v>
      </c>
      <c r="F46" t="s">
        <v>83</v>
      </c>
    </row>
    <row r="47" spans="1:6" x14ac:dyDescent="0.3">
      <c r="A47" t="s">
        <v>176</v>
      </c>
      <c r="B47" t="s">
        <v>177</v>
      </c>
      <c r="C47" t="s">
        <v>49</v>
      </c>
      <c r="D47">
        <v>4</v>
      </c>
      <c r="E47" t="s">
        <v>86</v>
      </c>
      <c r="F47" t="s">
        <v>92</v>
      </c>
    </row>
    <row r="48" spans="1:6" x14ac:dyDescent="0.3">
      <c r="A48" t="s">
        <v>178</v>
      </c>
      <c r="B48" t="s">
        <v>179</v>
      </c>
      <c r="C48" t="s">
        <v>49</v>
      </c>
      <c r="D48">
        <v>8</v>
      </c>
      <c r="E48" t="s">
        <v>91</v>
      </c>
      <c r="F48" t="s">
        <v>83</v>
      </c>
    </row>
    <row r="49" spans="1:6" x14ac:dyDescent="0.3">
      <c r="A49" t="s">
        <v>180</v>
      </c>
      <c r="B49" t="s">
        <v>181</v>
      </c>
      <c r="C49" t="s">
        <v>35</v>
      </c>
      <c r="D49">
        <v>7</v>
      </c>
      <c r="E49" t="s">
        <v>86</v>
      </c>
      <c r="F49" t="s">
        <v>83</v>
      </c>
    </row>
    <row r="50" spans="1:6" x14ac:dyDescent="0.3">
      <c r="A50" t="s">
        <v>182</v>
      </c>
      <c r="B50" t="s">
        <v>183</v>
      </c>
      <c r="C50" t="s">
        <v>64</v>
      </c>
      <c r="D50">
        <v>14</v>
      </c>
      <c r="E50" t="s">
        <v>91</v>
      </c>
      <c r="F50" t="s">
        <v>92</v>
      </c>
    </row>
    <row r="51" spans="1:6" x14ac:dyDescent="0.3">
      <c r="A51" t="s">
        <v>184</v>
      </c>
      <c r="B51" t="s">
        <v>185</v>
      </c>
      <c r="C51" t="s">
        <v>24</v>
      </c>
      <c r="D51">
        <v>2</v>
      </c>
      <c r="E51" t="s">
        <v>91</v>
      </c>
      <c r="F51" t="s">
        <v>92</v>
      </c>
    </row>
    <row r="52" spans="1:6" x14ac:dyDescent="0.3">
      <c r="A52" t="s">
        <v>186</v>
      </c>
      <c r="B52" t="s">
        <v>187</v>
      </c>
      <c r="C52" t="s">
        <v>68</v>
      </c>
      <c r="D52">
        <v>3</v>
      </c>
      <c r="E52" t="s">
        <v>82</v>
      </c>
      <c r="F52" t="s">
        <v>92</v>
      </c>
    </row>
    <row r="53" spans="1:6" x14ac:dyDescent="0.3">
      <c r="A53" t="s">
        <v>188</v>
      </c>
      <c r="B53" t="s">
        <v>189</v>
      </c>
      <c r="C53" t="s">
        <v>28</v>
      </c>
      <c r="D53">
        <v>12</v>
      </c>
      <c r="E53" t="s">
        <v>77</v>
      </c>
      <c r="F53" t="s">
        <v>83</v>
      </c>
    </row>
    <row r="54" spans="1:6" x14ac:dyDescent="0.3">
      <c r="A54" t="s">
        <v>190</v>
      </c>
      <c r="B54" t="s">
        <v>171</v>
      </c>
      <c r="C54" t="s">
        <v>16</v>
      </c>
      <c r="D54">
        <v>12</v>
      </c>
      <c r="E54" t="s">
        <v>82</v>
      </c>
      <c r="F54" t="s">
        <v>92</v>
      </c>
    </row>
    <row r="55" spans="1:6" x14ac:dyDescent="0.3">
      <c r="A55" t="s">
        <v>191</v>
      </c>
      <c r="B55" t="s">
        <v>192</v>
      </c>
      <c r="C55" t="s">
        <v>56</v>
      </c>
      <c r="D55">
        <v>9</v>
      </c>
      <c r="E55" t="s">
        <v>77</v>
      </c>
      <c r="F55" t="s">
        <v>78</v>
      </c>
    </row>
    <row r="56" spans="1:6" x14ac:dyDescent="0.3">
      <c r="A56" t="s">
        <v>193</v>
      </c>
      <c r="B56" t="s">
        <v>128</v>
      </c>
      <c r="C56" t="s">
        <v>66</v>
      </c>
      <c r="D56">
        <v>3</v>
      </c>
      <c r="E56" t="s">
        <v>82</v>
      </c>
      <c r="F56" t="s">
        <v>83</v>
      </c>
    </row>
    <row r="57" spans="1:6" x14ac:dyDescent="0.3">
      <c r="A57" t="s">
        <v>194</v>
      </c>
      <c r="B57" t="s">
        <v>157</v>
      </c>
      <c r="C57" t="s">
        <v>18</v>
      </c>
      <c r="D57">
        <v>2</v>
      </c>
      <c r="E57" t="s">
        <v>82</v>
      </c>
      <c r="F57" t="s">
        <v>83</v>
      </c>
    </row>
    <row r="58" spans="1:6" x14ac:dyDescent="0.3">
      <c r="A58" t="s">
        <v>195</v>
      </c>
      <c r="B58" t="s">
        <v>196</v>
      </c>
      <c r="C58" t="s">
        <v>28</v>
      </c>
      <c r="D58">
        <v>9</v>
      </c>
      <c r="E58" t="s">
        <v>82</v>
      </c>
      <c r="F58" t="s">
        <v>83</v>
      </c>
    </row>
    <row r="59" spans="1:6" x14ac:dyDescent="0.3">
      <c r="A59" t="s">
        <v>197</v>
      </c>
      <c r="B59" t="s">
        <v>90</v>
      </c>
      <c r="C59" t="s">
        <v>35</v>
      </c>
      <c r="D59">
        <v>11</v>
      </c>
      <c r="E59" t="s">
        <v>91</v>
      </c>
      <c r="F59" t="s">
        <v>78</v>
      </c>
    </row>
    <row r="60" spans="1:6" x14ac:dyDescent="0.3">
      <c r="A60" t="s">
        <v>198</v>
      </c>
      <c r="B60" t="s">
        <v>199</v>
      </c>
      <c r="C60" t="s">
        <v>39</v>
      </c>
      <c r="D60">
        <v>4</v>
      </c>
      <c r="E60" t="s">
        <v>91</v>
      </c>
      <c r="F60" t="s">
        <v>83</v>
      </c>
    </row>
    <row r="61" spans="1:6" x14ac:dyDescent="0.3">
      <c r="A61" t="s">
        <v>200</v>
      </c>
      <c r="B61" t="s">
        <v>201</v>
      </c>
      <c r="C61" t="s">
        <v>14</v>
      </c>
      <c r="D61">
        <v>7</v>
      </c>
      <c r="E61" t="s">
        <v>77</v>
      </c>
      <c r="F61" t="s">
        <v>83</v>
      </c>
    </row>
    <row r="62" spans="1:6" x14ac:dyDescent="0.3">
      <c r="A62" t="s">
        <v>202</v>
      </c>
      <c r="B62" t="s">
        <v>203</v>
      </c>
      <c r="C62" t="s">
        <v>33</v>
      </c>
      <c r="D62">
        <v>9</v>
      </c>
      <c r="E62" t="s">
        <v>77</v>
      </c>
      <c r="F62" t="s">
        <v>83</v>
      </c>
    </row>
    <row r="63" spans="1:6" x14ac:dyDescent="0.3">
      <c r="A63" t="s">
        <v>204</v>
      </c>
      <c r="B63" t="s">
        <v>205</v>
      </c>
      <c r="C63" t="s">
        <v>64</v>
      </c>
      <c r="D63">
        <v>14</v>
      </c>
      <c r="E63" t="s">
        <v>86</v>
      </c>
      <c r="F63" t="s">
        <v>83</v>
      </c>
    </row>
    <row r="64" spans="1:6" x14ac:dyDescent="0.3">
      <c r="A64" t="s">
        <v>206</v>
      </c>
      <c r="B64" t="s">
        <v>145</v>
      </c>
      <c r="C64" t="s">
        <v>105</v>
      </c>
      <c r="D64">
        <v>4</v>
      </c>
      <c r="E64" t="s">
        <v>91</v>
      </c>
      <c r="F64" t="s">
        <v>92</v>
      </c>
    </row>
    <row r="65" spans="1:6" x14ac:dyDescent="0.3">
      <c r="A65" t="s">
        <v>207</v>
      </c>
      <c r="B65" t="s">
        <v>208</v>
      </c>
      <c r="C65" t="s">
        <v>209</v>
      </c>
      <c r="D65">
        <v>4</v>
      </c>
      <c r="E65" t="s">
        <v>86</v>
      </c>
      <c r="F65" t="s">
        <v>78</v>
      </c>
    </row>
    <row r="66" spans="1:6" x14ac:dyDescent="0.3">
      <c r="A66" t="s">
        <v>210</v>
      </c>
      <c r="B66" t="s">
        <v>211</v>
      </c>
      <c r="C66" t="s">
        <v>31</v>
      </c>
      <c r="D66">
        <v>4</v>
      </c>
      <c r="E66" t="s">
        <v>86</v>
      </c>
      <c r="F66" t="s">
        <v>92</v>
      </c>
    </row>
    <row r="67" spans="1:6" x14ac:dyDescent="0.3">
      <c r="A67" t="s">
        <v>212</v>
      </c>
      <c r="B67" t="s">
        <v>213</v>
      </c>
      <c r="C67" t="s">
        <v>22</v>
      </c>
      <c r="D67">
        <v>1</v>
      </c>
      <c r="E67" t="s">
        <v>77</v>
      </c>
      <c r="F67" t="s">
        <v>78</v>
      </c>
    </row>
    <row r="68" spans="1:6" x14ac:dyDescent="0.3">
      <c r="A68" t="s">
        <v>214</v>
      </c>
      <c r="B68" t="s">
        <v>189</v>
      </c>
      <c r="C68" t="s">
        <v>41</v>
      </c>
      <c r="D68">
        <v>5</v>
      </c>
      <c r="E68" t="s">
        <v>82</v>
      </c>
      <c r="F68" t="s">
        <v>83</v>
      </c>
    </row>
    <row r="69" spans="1:6" x14ac:dyDescent="0.3">
      <c r="A69" t="s">
        <v>215</v>
      </c>
      <c r="B69" t="s">
        <v>216</v>
      </c>
      <c r="C69" t="s">
        <v>43</v>
      </c>
      <c r="D69">
        <v>12</v>
      </c>
      <c r="E69" t="s">
        <v>91</v>
      </c>
      <c r="F69" t="s">
        <v>78</v>
      </c>
    </row>
    <row r="70" spans="1:6" x14ac:dyDescent="0.3">
      <c r="A70" t="s">
        <v>217</v>
      </c>
      <c r="B70" t="s">
        <v>218</v>
      </c>
      <c r="C70" t="s">
        <v>24</v>
      </c>
      <c r="D70">
        <v>9</v>
      </c>
      <c r="E70" t="s">
        <v>91</v>
      </c>
      <c r="F70" t="s">
        <v>92</v>
      </c>
    </row>
    <row r="71" spans="1:6" x14ac:dyDescent="0.3">
      <c r="A71" t="s">
        <v>219</v>
      </c>
      <c r="B71" t="s">
        <v>220</v>
      </c>
      <c r="C71" t="s">
        <v>33</v>
      </c>
      <c r="D71">
        <v>2</v>
      </c>
      <c r="E71" t="s">
        <v>77</v>
      </c>
      <c r="F71" t="s">
        <v>83</v>
      </c>
    </row>
    <row r="72" spans="1:6" x14ac:dyDescent="0.3">
      <c r="A72" t="s">
        <v>221</v>
      </c>
      <c r="B72" t="s">
        <v>222</v>
      </c>
      <c r="C72" t="s">
        <v>68</v>
      </c>
      <c r="D72">
        <v>2</v>
      </c>
      <c r="E72" t="s">
        <v>91</v>
      </c>
      <c r="F72" t="s">
        <v>78</v>
      </c>
    </row>
    <row r="73" spans="1:6" x14ac:dyDescent="0.3">
      <c r="A73" t="s">
        <v>223</v>
      </c>
      <c r="B73" t="s">
        <v>183</v>
      </c>
      <c r="C73" t="s">
        <v>18</v>
      </c>
      <c r="D73">
        <v>7</v>
      </c>
      <c r="E73" t="s">
        <v>82</v>
      </c>
      <c r="F73" t="s">
        <v>92</v>
      </c>
    </row>
    <row r="74" spans="1:6" x14ac:dyDescent="0.3">
      <c r="A74" t="s">
        <v>224</v>
      </c>
      <c r="B74" t="s">
        <v>225</v>
      </c>
      <c r="C74" t="s">
        <v>62</v>
      </c>
      <c r="D74">
        <v>3</v>
      </c>
      <c r="E74" t="s">
        <v>91</v>
      </c>
      <c r="F74" t="s">
        <v>78</v>
      </c>
    </row>
    <row r="75" spans="1:6" x14ac:dyDescent="0.3">
      <c r="A75" t="s">
        <v>226</v>
      </c>
      <c r="B75" t="s">
        <v>227</v>
      </c>
      <c r="C75" t="s">
        <v>45</v>
      </c>
      <c r="D75">
        <v>8</v>
      </c>
      <c r="E75" t="s">
        <v>91</v>
      </c>
      <c r="F75" t="s">
        <v>78</v>
      </c>
    </row>
    <row r="76" spans="1:6" x14ac:dyDescent="0.3">
      <c r="A76" t="s">
        <v>228</v>
      </c>
      <c r="B76" t="s">
        <v>229</v>
      </c>
      <c r="C76" t="s">
        <v>35</v>
      </c>
      <c r="D76">
        <v>11</v>
      </c>
      <c r="E76" t="s">
        <v>82</v>
      </c>
      <c r="F76" t="s">
        <v>78</v>
      </c>
    </row>
    <row r="77" spans="1:6" x14ac:dyDescent="0.3">
      <c r="A77" t="s">
        <v>230</v>
      </c>
      <c r="B77" t="s">
        <v>157</v>
      </c>
      <c r="C77" t="s">
        <v>56</v>
      </c>
      <c r="D77">
        <v>2</v>
      </c>
      <c r="E77" t="s">
        <v>86</v>
      </c>
      <c r="F77" t="s">
        <v>92</v>
      </c>
    </row>
    <row r="78" spans="1:6" x14ac:dyDescent="0.3">
      <c r="A78" t="s">
        <v>231</v>
      </c>
      <c r="B78" t="s">
        <v>232</v>
      </c>
      <c r="C78" t="s">
        <v>7</v>
      </c>
      <c r="D78">
        <v>5</v>
      </c>
      <c r="E78" t="s">
        <v>77</v>
      </c>
      <c r="F78" t="s">
        <v>83</v>
      </c>
    </row>
    <row r="79" spans="1:6" x14ac:dyDescent="0.3">
      <c r="A79" t="s">
        <v>233</v>
      </c>
      <c r="B79" t="s">
        <v>234</v>
      </c>
      <c r="C79" t="s">
        <v>45</v>
      </c>
      <c r="D79">
        <v>11</v>
      </c>
      <c r="E79" t="s">
        <v>86</v>
      </c>
      <c r="F79" t="s">
        <v>78</v>
      </c>
    </row>
    <row r="80" spans="1:6" x14ac:dyDescent="0.3">
      <c r="A80" t="s">
        <v>235</v>
      </c>
      <c r="B80" t="s">
        <v>236</v>
      </c>
      <c r="C80" t="s">
        <v>35</v>
      </c>
      <c r="D80">
        <v>14</v>
      </c>
      <c r="E80" t="s">
        <v>77</v>
      </c>
      <c r="F80" t="s">
        <v>78</v>
      </c>
    </row>
    <row r="81" spans="1:6" x14ac:dyDescent="0.3">
      <c r="A81" t="s">
        <v>237</v>
      </c>
      <c r="B81" t="s">
        <v>238</v>
      </c>
      <c r="C81" t="s">
        <v>43</v>
      </c>
      <c r="D81">
        <v>6</v>
      </c>
      <c r="E81" t="s">
        <v>91</v>
      </c>
      <c r="F81" t="s">
        <v>83</v>
      </c>
    </row>
    <row r="82" spans="1:6" x14ac:dyDescent="0.3">
      <c r="A82" t="s">
        <v>239</v>
      </c>
      <c r="B82" t="s">
        <v>192</v>
      </c>
      <c r="C82" t="s">
        <v>24</v>
      </c>
      <c r="D82">
        <v>4</v>
      </c>
      <c r="E82" t="s">
        <v>82</v>
      </c>
      <c r="F82" t="s">
        <v>78</v>
      </c>
    </row>
    <row r="83" spans="1:6" x14ac:dyDescent="0.3">
      <c r="A83" t="s">
        <v>240</v>
      </c>
      <c r="B83" t="s">
        <v>241</v>
      </c>
      <c r="C83" t="s">
        <v>26</v>
      </c>
      <c r="D83">
        <v>11</v>
      </c>
      <c r="E83" t="s">
        <v>91</v>
      </c>
      <c r="F83" t="s">
        <v>83</v>
      </c>
    </row>
    <row r="84" spans="1:6" x14ac:dyDescent="0.3">
      <c r="A84" t="s">
        <v>242</v>
      </c>
      <c r="B84" t="s">
        <v>243</v>
      </c>
      <c r="C84" t="s">
        <v>31</v>
      </c>
      <c r="D84">
        <v>6</v>
      </c>
      <c r="E84" t="s">
        <v>86</v>
      </c>
      <c r="F84" t="s">
        <v>92</v>
      </c>
    </row>
    <row r="85" spans="1:6" x14ac:dyDescent="0.3">
      <c r="A85" t="s">
        <v>244</v>
      </c>
      <c r="B85" t="s">
        <v>245</v>
      </c>
      <c r="C85" t="s">
        <v>64</v>
      </c>
      <c r="D85">
        <v>6</v>
      </c>
      <c r="E85" t="s">
        <v>77</v>
      </c>
      <c r="F85" t="s">
        <v>78</v>
      </c>
    </row>
    <row r="86" spans="1:6" x14ac:dyDescent="0.3">
      <c r="A86" t="s">
        <v>246</v>
      </c>
      <c r="B86" t="s">
        <v>183</v>
      </c>
      <c r="C86" t="s">
        <v>18</v>
      </c>
      <c r="D86">
        <v>7</v>
      </c>
      <c r="E86" t="s">
        <v>91</v>
      </c>
      <c r="F86" t="s">
        <v>92</v>
      </c>
    </row>
    <row r="87" spans="1:6" x14ac:dyDescent="0.3">
      <c r="A87" t="s">
        <v>247</v>
      </c>
      <c r="B87" t="s">
        <v>248</v>
      </c>
      <c r="C87" t="s">
        <v>39</v>
      </c>
      <c r="D87">
        <v>8</v>
      </c>
      <c r="E87" t="s">
        <v>86</v>
      </c>
      <c r="F87" t="s">
        <v>78</v>
      </c>
    </row>
    <row r="88" spans="1:6" x14ac:dyDescent="0.3">
      <c r="A88" t="s">
        <v>249</v>
      </c>
      <c r="B88" t="s">
        <v>250</v>
      </c>
      <c r="C88" t="s">
        <v>16</v>
      </c>
      <c r="D88">
        <v>7</v>
      </c>
      <c r="E88" t="s">
        <v>91</v>
      </c>
      <c r="F88" t="s">
        <v>78</v>
      </c>
    </row>
    <row r="89" spans="1:6" x14ac:dyDescent="0.3">
      <c r="A89" t="s">
        <v>251</v>
      </c>
      <c r="B89" t="s">
        <v>252</v>
      </c>
      <c r="C89" t="s">
        <v>253</v>
      </c>
      <c r="D89">
        <v>1</v>
      </c>
      <c r="E89" t="s">
        <v>82</v>
      </c>
      <c r="F89" t="s">
        <v>92</v>
      </c>
    </row>
    <row r="90" spans="1:6" x14ac:dyDescent="0.3">
      <c r="A90" t="s">
        <v>254</v>
      </c>
      <c r="B90" t="s">
        <v>255</v>
      </c>
      <c r="C90" t="s">
        <v>43</v>
      </c>
      <c r="D90">
        <v>1</v>
      </c>
      <c r="E90" t="s">
        <v>82</v>
      </c>
      <c r="F90" t="s">
        <v>92</v>
      </c>
    </row>
    <row r="91" spans="1:6" x14ac:dyDescent="0.3">
      <c r="A91" t="s">
        <v>256</v>
      </c>
      <c r="B91" t="s">
        <v>257</v>
      </c>
      <c r="C91" t="s">
        <v>105</v>
      </c>
      <c r="D91">
        <v>3</v>
      </c>
      <c r="E91" t="s">
        <v>77</v>
      </c>
      <c r="F91" t="s">
        <v>83</v>
      </c>
    </row>
    <row r="92" spans="1:6" x14ac:dyDescent="0.3">
      <c r="A92" t="s">
        <v>258</v>
      </c>
      <c r="B92" t="s">
        <v>259</v>
      </c>
      <c r="C92" t="s">
        <v>62</v>
      </c>
      <c r="D92">
        <v>5</v>
      </c>
      <c r="E92" t="s">
        <v>77</v>
      </c>
      <c r="F92" t="s">
        <v>92</v>
      </c>
    </row>
    <row r="93" spans="1:6" x14ac:dyDescent="0.3">
      <c r="A93" t="s">
        <v>260</v>
      </c>
      <c r="B93" t="s">
        <v>171</v>
      </c>
      <c r="C93" t="s">
        <v>66</v>
      </c>
      <c r="D93">
        <v>4</v>
      </c>
      <c r="E93" t="s">
        <v>91</v>
      </c>
      <c r="F93" t="s">
        <v>92</v>
      </c>
    </row>
    <row r="94" spans="1:6" x14ac:dyDescent="0.3">
      <c r="A94" t="s">
        <v>261</v>
      </c>
      <c r="B94" t="s">
        <v>262</v>
      </c>
      <c r="C94" t="s">
        <v>66</v>
      </c>
      <c r="D94">
        <v>1</v>
      </c>
      <c r="E94" t="s">
        <v>82</v>
      </c>
      <c r="F94" t="s">
        <v>92</v>
      </c>
    </row>
    <row r="95" spans="1:6" x14ac:dyDescent="0.3">
      <c r="A95" t="s">
        <v>263</v>
      </c>
      <c r="B95" t="s">
        <v>264</v>
      </c>
      <c r="C95" t="s">
        <v>37</v>
      </c>
      <c r="D95">
        <v>13</v>
      </c>
      <c r="E95" t="s">
        <v>91</v>
      </c>
      <c r="F95" t="s">
        <v>78</v>
      </c>
    </row>
    <row r="96" spans="1:6" x14ac:dyDescent="0.3">
      <c r="A96" t="s">
        <v>265</v>
      </c>
      <c r="B96" t="s">
        <v>266</v>
      </c>
      <c r="C96" t="s">
        <v>7</v>
      </c>
      <c r="D96">
        <v>7</v>
      </c>
      <c r="E96" t="s">
        <v>91</v>
      </c>
      <c r="F96" t="s">
        <v>92</v>
      </c>
    </row>
    <row r="97" spans="1:6" x14ac:dyDescent="0.3">
      <c r="A97" t="s">
        <v>267</v>
      </c>
      <c r="B97" t="s">
        <v>132</v>
      </c>
      <c r="C97" t="s">
        <v>16</v>
      </c>
      <c r="D97">
        <v>5</v>
      </c>
      <c r="E97" t="s">
        <v>91</v>
      </c>
      <c r="F97" t="s">
        <v>83</v>
      </c>
    </row>
    <row r="98" spans="1:6" x14ac:dyDescent="0.3">
      <c r="A98" t="s">
        <v>268</v>
      </c>
      <c r="B98" t="s">
        <v>269</v>
      </c>
      <c r="C98" t="s">
        <v>52</v>
      </c>
      <c r="D98">
        <v>10</v>
      </c>
      <c r="E98" t="s">
        <v>77</v>
      </c>
      <c r="F98" t="s">
        <v>83</v>
      </c>
    </row>
    <row r="99" spans="1:6" x14ac:dyDescent="0.3">
      <c r="A99" t="s">
        <v>270</v>
      </c>
      <c r="B99" t="s">
        <v>255</v>
      </c>
      <c r="C99" t="s">
        <v>64</v>
      </c>
      <c r="D99">
        <v>10</v>
      </c>
      <c r="E99" t="s">
        <v>86</v>
      </c>
      <c r="F99" t="s">
        <v>78</v>
      </c>
    </row>
    <row r="100" spans="1:6" x14ac:dyDescent="0.3">
      <c r="A100" t="s">
        <v>271</v>
      </c>
      <c r="B100" t="s">
        <v>272</v>
      </c>
      <c r="C100" t="s">
        <v>33</v>
      </c>
      <c r="D100">
        <v>9</v>
      </c>
      <c r="E100" t="s">
        <v>77</v>
      </c>
      <c r="F100" t="s">
        <v>92</v>
      </c>
    </row>
    <row r="101" spans="1:6" x14ac:dyDescent="0.3">
      <c r="A101" t="s">
        <v>273</v>
      </c>
      <c r="B101" t="s">
        <v>274</v>
      </c>
      <c r="C101" t="s">
        <v>16</v>
      </c>
      <c r="D101">
        <v>8</v>
      </c>
      <c r="E101" t="s">
        <v>91</v>
      </c>
      <c r="F101" t="s">
        <v>92</v>
      </c>
    </row>
    <row r="102" spans="1:6" x14ac:dyDescent="0.3">
      <c r="A102" t="s">
        <v>275</v>
      </c>
      <c r="B102" t="s">
        <v>276</v>
      </c>
      <c r="C102" t="s">
        <v>20</v>
      </c>
      <c r="D102">
        <v>11</v>
      </c>
      <c r="E102" t="s">
        <v>86</v>
      </c>
      <c r="F102" t="s">
        <v>83</v>
      </c>
    </row>
    <row r="103" spans="1:6" x14ac:dyDescent="0.3">
      <c r="A103" t="s">
        <v>277</v>
      </c>
      <c r="B103" t="s">
        <v>278</v>
      </c>
      <c r="C103" t="s">
        <v>66</v>
      </c>
      <c r="D103">
        <v>11</v>
      </c>
      <c r="E103" t="s">
        <v>77</v>
      </c>
      <c r="F103" t="s">
        <v>78</v>
      </c>
    </row>
    <row r="104" spans="1:6" x14ac:dyDescent="0.3">
      <c r="A104" t="s">
        <v>279</v>
      </c>
      <c r="B104" t="s">
        <v>280</v>
      </c>
      <c r="C104" t="s">
        <v>24</v>
      </c>
      <c r="D104">
        <v>5</v>
      </c>
      <c r="E104" t="s">
        <v>82</v>
      </c>
      <c r="F104" t="s">
        <v>92</v>
      </c>
    </row>
    <row r="105" spans="1:6" x14ac:dyDescent="0.3">
      <c r="A105" t="s">
        <v>281</v>
      </c>
      <c r="B105" t="s">
        <v>282</v>
      </c>
      <c r="C105" t="s">
        <v>39</v>
      </c>
      <c r="D105">
        <v>4</v>
      </c>
      <c r="E105" t="s">
        <v>86</v>
      </c>
      <c r="F105" t="s">
        <v>78</v>
      </c>
    </row>
    <row r="106" spans="1:6" x14ac:dyDescent="0.3">
      <c r="A106" t="s">
        <v>283</v>
      </c>
      <c r="B106" t="s">
        <v>201</v>
      </c>
      <c r="C106" t="s">
        <v>284</v>
      </c>
      <c r="D106">
        <v>13</v>
      </c>
      <c r="E106" t="s">
        <v>77</v>
      </c>
      <c r="F106" t="s">
        <v>78</v>
      </c>
    </row>
    <row r="107" spans="1:6" x14ac:dyDescent="0.3">
      <c r="A107" t="s">
        <v>285</v>
      </c>
      <c r="B107" t="s">
        <v>286</v>
      </c>
      <c r="C107" t="s">
        <v>62</v>
      </c>
      <c r="D107">
        <v>5</v>
      </c>
      <c r="E107" t="s">
        <v>91</v>
      </c>
      <c r="F107" t="s">
        <v>92</v>
      </c>
    </row>
    <row r="108" spans="1:6" x14ac:dyDescent="0.3">
      <c r="A108" t="s">
        <v>287</v>
      </c>
      <c r="B108" t="s">
        <v>288</v>
      </c>
      <c r="C108" t="s">
        <v>20</v>
      </c>
      <c r="D108">
        <v>10</v>
      </c>
      <c r="E108" t="s">
        <v>91</v>
      </c>
      <c r="F108" t="s">
        <v>78</v>
      </c>
    </row>
    <row r="109" spans="1:6" x14ac:dyDescent="0.3">
      <c r="A109" t="s">
        <v>289</v>
      </c>
      <c r="B109" t="s">
        <v>290</v>
      </c>
      <c r="C109" t="s">
        <v>66</v>
      </c>
      <c r="D109">
        <v>4</v>
      </c>
      <c r="E109" t="s">
        <v>91</v>
      </c>
      <c r="F109" t="s">
        <v>78</v>
      </c>
    </row>
    <row r="110" spans="1:6" x14ac:dyDescent="0.3">
      <c r="A110" t="s">
        <v>291</v>
      </c>
      <c r="B110" t="s">
        <v>292</v>
      </c>
      <c r="C110" t="s">
        <v>33</v>
      </c>
      <c r="D110">
        <v>9</v>
      </c>
      <c r="E110" t="s">
        <v>77</v>
      </c>
      <c r="F110" t="s">
        <v>83</v>
      </c>
    </row>
    <row r="111" spans="1:6" x14ac:dyDescent="0.3">
      <c r="A111" t="s">
        <v>293</v>
      </c>
      <c r="B111" t="s">
        <v>294</v>
      </c>
      <c r="C111" t="s">
        <v>10</v>
      </c>
      <c r="D111">
        <v>10</v>
      </c>
      <c r="E111" t="s">
        <v>91</v>
      </c>
      <c r="F111" t="s">
        <v>92</v>
      </c>
    </row>
    <row r="112" spans="1:6" x14ac:dyDescent="0.3">
      <c r="A112" t="s">
        <v>295</v>
      </c>
      <c r="B112" t="s">
        <v>296</v>
      </c>
      <c r="C112" t="s">
        <v>60</v>
      </c>
      <c r="D112">
        <v>8</v>
      </c>
      <c r="E112" t="s">
        <v>82</v>
      </c>
      <c r="F112" t="s">
        <v>78</v>
      </c>
    </row>
    <row r="113" spans="1:6" x14ac:dyDescent="0.3">
      <c r="A113" t="s">
        <v>297</v>
      </c>
      <c r="B113" t="s">
        <v>298</v>
      </c>
      <c r="C113" t="s">
        <v>24</v>
      </c>
      <c r="D113">
        <v>3</v>
      </c>
      <c r="E113" t="s">
        <v>77</v>
      </c>
      <c r="F113" t="s">
        <v>83</v>
      </c>
    </row>
    <row r="114" spans="1:6" x14ac:dyDescent="0.3">
      <c r="A114" t="s">
        <v>299</v>
      </c>
      <c r="B114" t="s">
        <v>300</v>
      </c>
      <c r="C114" t="s">
        <v>60</v>
      </c>
      <c r="D114">
        <v>14</v>
      </c>
      <c r="E114" t="s">
        <v>82</v>
      </c>
      <c r="F114" t="s">
        <v>78</v>
      </c>
    </row>
    <row r="115" spans="1:6" x14ac:dyDescent="0.3">
      <c r="A115" t="s">
        <v>301</v>
      </c>
      <c r="B115" t="s">
        <v>302</v>
      </c>
      <c r="C115" t="s">
        <v>18</v>
      </c>
      <c r="D115">
        <v>6</v>
      </c>
      <c r="E115" t="s">
        <v>91</v>
      </c>
      <c r="F115" t="s">
        <v>92</v>
      </c>
    </row>
    <row r="116" spans="1:6" x14ac:dyDescent="0.3">
      <c r="A116" t="s">
        <v>303</v>
      </c>
      <c r="B116" t="s">
        <v>304</v>
      </c>
      <c r="C116" t="s">
        <v>10</v>
      </c>
      <c r="D116">
        <v>10</v>
      </c>
      <c r="E116" t="s">
        <v>91</v>
      </c>
      <c r="F116" t="s">
        <v>83</v>
      </c>
    </row>
    <row r="117" spans="1:6" x14ac:dyDescent="0.3">
      <c r="A117" t="s">
        <v>305</v>
      </c>
      <c r="B117" t="s">
        <v>306</v>
      </c>
      <c r="C117" t="s">
        <v>307</v>
      </c>
      <c r="D117">
        <v>2</v>
      </c>
      <c r="E117" t="s">
        <v>77</v>
      </c>
      <c r="F117" t="s">
        <v>78</v>
      </c>
    </row>
    <row r="118" spans="1:6" x14ac:dyDescent="0.3">
      <c r="A118" t="s">
        <v>308</v>
      </c>
      <c r="B118" t="s">
        <v>309</v>
      </c>
      <c r="C118" t="s">
        <v>26</v>
      </c>
      <c r="D118">
        <v>14</v>
      </c>
      <c r="E118" t="s">
        <v>91</v>
      </c>
      <c r="F118" t="s">
        <v>78</v>
      </c>
    </row>
    <row r="119" spans="1:6" x14ac:dyDescent="0.3">
      <c r="A119" t="s">
        <v>310</v>
      </c>
      <c r="B119" t="s">
        <v>311</v>
      </c>
      <c r="C119" t="s">
        <v>35</v>
      </c>
      <c r="D119">
        <v>9</v>
      </c>
      <c r="E119" t="s">
        <v>86</v>
      </c>
      <c r="F119" t="s">
        <v>78</v>
      </c>
    </row>
    <row r="120" spans="1:6" x14ac:dyDescent="0.3">
      <c r="A120" t="s">
        <v>312</v>
      </c>
      <c r="B120" t="s">
        <v>313</v>
      </c>
      <c r="C120" t="s">
        <v>54</v>
      </c>
      <c r="D120">
        <v>10</v>
      </c>
      <c r="E120" t="s">
        <v>77</v>
      </c>
      <c r="F120" t="s">
        <v>78</v>
      </c>
    </row>
    <row r="121" spans="1:6" x14ac:dyDescent="0.3">
      <c r="A121" t="s">
        <v>314</v>
      </c>
      <c r="B121" t="s">
        <v>128</v>
      </c>
      <c r="C121" t="s">
        <v>66</v>
      </c>
      <c r="D121">
        <v>4</v>
      </c>
      <c r="E121" t="s">
        <v>91</v>
      </c>
      <c r="F121" t="s">
        <v>92</v>
      </c>
    </row>
    <row r="122" spans="1:6" x14ac:dyDescent="0.3">
      <c r="A122" t="s">
        <v>315</v>
      </c>
      <c r="B122" t="s">
        <v>128</v>
      </c>
      <c r="C122" t="s">
        <v>24</v>
      </c>
      <c r="D122">
        <v>5</v>
      </c>
      <c r="E122" t="s">
        <v>86</v>
      </c>
      <c r="F122" t="s">
        <v>92</v>
      </c>
    </row>
    <row r="123" spans="1:6" x14ac:dyDescent="0.3">
      <c r="A123" t="s">
        <v>316</v>
      </c>
      <c r="B123" t="s">
        <v>134</v>
      </c>
      <c r="C123" t="s">
        <v>28</v>
      </c>
      <c r="D123">
        <v>14</v>
      </c>
      <c r="E123" t="s">
        <v>82</v>
      </c>
      <c r="F123" t="s">
        <v>78</v>
      </c>
    </row>
    <row r="124" spans="1:6" x14ac:dyDescent="0.3">
      <c r="A124" t="s">
        <v>317</v>
      </c>
      <c r="B124" t="s">
        <v>276</v>
      </c>
      <c r="C124" t="s">
        <v>33</v>
      </c>
      <c r="D124">
        <v>9</v>
      </c>
      <c r="E124" t="s">
        <v>77</v>
      </c>
      <c r="F124" t="s">
        <v>92</v>
      </c>
    </row>
    <row r="125" spans="1:6" x14ac:dyDescent="0.3">
      <c r="A125" t="s">
        <v>318</v>
      </c>
      <c r="B125" t="s">
        <v>236</v>
      </c>
      <c r="C125" t="s">
        <v>39</v>
      </c>
      <c r="D125">
        <v>4</v>
      </c>
      <c r="E125" t="s">
        <v>86</v>
      </c>
      <c r="F125" t="s">
        <v>92</v>
      </c>
    </row>
    <row r="126" spans="1:6" x14ac:dyDescent="0.3">
      <c r="A126" t="s">
        <v>319</v>
      </c>
      <c r="B126" t="s">
        <v>320</v>
      </c>
      <c r="C126" t="s">
        <v>52</v>
      </c>
      <c r="D126">
        <v>9</v>
      </c>
      <c r="E126" t="s">
        <v>91</v>
      </c>
      <c r="F126" t="s">
        <v>78</v>
      </c>
    </row>
    <row r="127" spans="1:6" x14ac:dyDescent="0.3">
      <c r="A127" t="s">
        <v>321</v>
      </c>
      <c r="B127" t="s">
        <v>322</v>
      </c>
      <c r="C127" t="s">
        <v>49</v>
      </c>
      <c r="D127">
        <v>3</v>
      </c>
      <c r="E127" t="s">
        <v>86</v>
      </c>
      <c r="F127" t="s">
        <v>92</v>
      </c>
    </row>
    <row r="128" spans="1:6" x14ac:dyDescent="0.3">
      <c r="A128" t="s">
        <v>323</v>
      </c>
      <c r="B128" t="s">
        <v>276</v>
      </c>
      <c r="C128" t="s">
        <v>60</v>
      </c>
      <c r="D128">
        <v>11</v>
      </c>
      <c r="E128" t="s">
        <v>91</v>
      </c>
      <c r="F128" t="s">
        <v>78</v>
      </c>
    </row>
    <row r="129" spans="1:6" x14ac:dyDescent="0.3">
      <c r="A129" t="s">
        <v>324</v>
      </c>
      <c r="B129" t="s">
        <v>272</v>
      </c>
      <c r="C129" t="s">
        <v>22</v>
      </c>
      <c r="D129">
        <v>11</v>
      </c>
      <c r="E129" t="s">
        <v>82</v>
      </c>
      <c r="F129" t="s">
        <v>83</v>
      </c>
    </row>
    <row r="130" spans="1:6" x14ac:dyDescent="0.3">
      <c r="A130" t="s">
        <v>325</v>
      </c>
      <c r="B130" t="s">
        <v>326</v>
      </c>
      <c r="C130" t="s">
        <v>18</v>
      </c>
      <c r="D130">
        <v>6</v>
      </c>
      <c r="E130" t="s">
        <v>91</v>
      </c>
      <c r="F130" t="s">
        <v>83</v>
      </c>
    </row>
    <row r="131" spans="1:6" x14ac:dyDescent="0.3">
      <c r="A131" t="s">
        <v>327</v>
      </c>
      <c r="B131" t="s">
        <v>328</v>
      </c>
      <c r="C131" t="s">
        <v>31</v>
      </c>
      <c r="D131">
        <v>14</v>
      </c>
      <c r="E131" t="s">
        <v>86</v>
      </c>
      <c r="F131" t="s">
        <v>92</v>
      </c>
    </row>
    <row r="132" spans="1:6" x14ac:dyDescent="0.3">
      <c r="A132" t="s">
        <v>329</v>
      </c>
      <c r="B132" t="s">
        <v>330</v>
      </c>
      <c r="C132" t="s">
        <v>37</v>
      </c>
      <c r="D132">
        <v>8</v>
      </c>
      <c r="E132" t="s">
        <v>77</v>
      </c>
      <c r="F132" t="s">
        <v>92</v>
      </c>
    </row>
    <row r="133" spans="1:6" x14ac:dyDescent="0.3">
      <c r="A133" t="s">
        <v>331</v>
      </c>
      <c r="B133" t="s">
        <v>113</v>
      </c>
      <c r="C133" t="s">
        <v>39</v>
      </c>
      <c r="D133">
        <v>6</v>
      </c>
      <c r="E133" t="s">
        <v>86</v>
      </c>
      <c r="F133" t="s">
        <v>92</v>
      </c>
    </row>
    <row r="134" spans="1:6" x14ac:dyDescent="0.3">
      <c r="A134" t="s">
        <v>332</v>
      </c>
      <c r="B134" t="s">
        <v>333</v>
      </c>
      <c r="C134" t="s">
        <v>18</v>
      </c>
      <c r="D134">
        <v>7</v>
      </c>
      <c r="E134" t="s">
        <v>82</v>
      </c>
      <c r="F134" t="s">
        <v>92</v>
      </c>
    </row>
    <row r="135" spans="1:6" x14ac:dyDescent="0.3">
      <c r="A135" t="s">
        <v>334</v>
      </c>
      <c r="B135" t="s">
        <v>107</v>
      </c>
      <c r="C135" t="s">
        <v>14</v>
      </c>
      <c r="D135">
        <v>5</v>
      </c>
      <c r="E135" t="s">
        <v>77</v>
      </c>
      <c r="F135" t="s">
        <v>92</v>
      </c>
    </row>
    <row r="136" spans="1:6" x14ac:dyDescent="0.3">
      <c r="A136" t="s">
        <v>335</v>
      </c>
      <c r="B136" t="s">
        <v>183</v>
      </c>
      <c r="C136" t="s">
        <v>47</v>
      </c>
      <c r="D136">
        <v>6</v>
      </c>
      <c r="E136" t="s">
        <v>77</v>
      </c>
      <c r="F136" t="s">
        <v>78</v>
      </c>
    </row>
    <row r="137" spans="1:6" x14ac:dyDescent="0.3">
      <c r="A137" t="s">
        <v>336</v>
      </c>
      <c r="B137" t="s">
        <v>143</v>
      </c>
      <c r="C137" t="s">
        <v>60</v>
      </c>
      <c r="D137">
        <v>8</v>
      </c>
      <c r="E137" t="s">
        <v>86</v>
      </c>
      <c r="F137" t="s">
        <v>92</v>
      </c>
    </row>
    <row r="138" spans="1:6" x14ac:dyDescent="0.3">
      <c r="A138" t="s">
        <v>337</v>
      </c>
      <c r="B138" t="s">
        <v>338</v>
      </c>
      <c r="C138" t="s">
        <v>14</v>
      </c>
      <c r="D138">
        <v>6</v>
      </c>
      <c r="E138" t="s">
        <v>91</v>
      </c>
      <c r="F138" t="s">
        <v>78</v>
      </c>
    </row>
    <row r="139" spans="1:6" x14ac:dyDescent="0.3">
      <c r="A139" t="s">
        <v>339</v>
      </c>
      <c r="B139" t="s">
        <v>322</v>
      </c>
      <c r="C139" t="s">
        <v>58</v>
      </c>
      <c r="D139">
        <v>13</v>
      </c>
      <c r="E139" t="s">
        <v>86</v>
      </c>
      <c r="F139" t="s">
        <v>78</v>
      </c>
    </row>
    <row r="140" spans="1:6" x14ac:dyDescent="0.3">
      <c r="A140" t="s">
        <v>340</v>
      </c>
      <c r="B140" t="s">
        <v>341</v>
      </c>
      <c r="C140" t="s">
        <v>60</v>
      </c>
      <c r="D140">
        <v>10</v>
      </c>
      <c r="E140" t="s">
        <v>82</v>
      </c>
      <c r="F140" t="s">
        <v>92</v>
      </c>
    </row>
    <row r="141" spans="1:6" x14ac:dyDescent="0.3">
      <c r="A141" t="s">
        <v>342</v>
      </c>
      <c r="B141" t="s">
        <v>157</v>
      </c>
      <c r="C141" t="s">
        <v>253</v>
      </c>
      <c r="D141">
        <v>12</v>
      </c>
      <c r="E141" t="s">
        <v>77</v>
      </c>
      <c r="F141" t="s">
        <v>78</v>
      </c>
    </row>
    <row r="142" spans="1:6" x14ac:dyDescent="0.3">
      <c r="A142" t="s">
        <v>343</v>
      </c>
      <c r="B142" t="s">
        <v>344</v>
      </c>
      <c r="C142" t="s">
        <v>22</v>
      </c>
      <c r="D142">
        <v>4</v>
      </c>
      <c r="E142" t="s">
        <v>86</v>
      </c>
      <c r="F142" t="s">
        <v>92</v>
      </c>
    </row>
    <row r="143" spans="1:6" x14ac:dyDescent="0.3">
      <c r="A143" t="s">
        <v>345</v>
      </c>
      <c r="B143" t="s">
        <v>199</v>
      </c>
      <c r="C143" t="s">
        <v>26</v>
      </c>
      <c r="D143">
        <v>12</v>
      </c>
      <c r="E143" t="s">
        <v>77</v>
      </c>
      <c r="F143" t="s">
        <v>92</v>
      </c>
    </row>
    <row r="144" spans="1:6" x14ac:dyDescent="0.3">
      <c r="A144" t="s">
        <v>346</v>
      </c>
      <c r="B144" t="s">
        <v>347</v>
      </c>
      <c r="C144" t="s">
        <v>68</v>
      </c>
      <c r="D144">
        <v>13</v>
      </c>
      <c r="E144" t="s">
        <v>86</v>
      </c>
      <c r="F144" t="s">
        <v>78</v>
      </c>
    </row>
    <row r="145" spans="1:6" x14ac:dyDescent="0.3">
      <c r="A145" t="s">
        <v>348</v>
      </c>
      <c r="B145" t="s">
        <v>349</v>
      </c>
      <c r="C145" t="s">
        <v>33</v>
      </c>
      <c r="D145">
        <v>7</v>
      </c>
      <c r="E145" t="s">
        <v>86</v>
      </c>
      <c r="F145" t="s">
        <v>83</v>
      </c>
    </row>
    <row r="146" spans="1:6" x14ac:dyDescent="0.3">
      <c r="A146" t="s">
        <v>350</v>
      </c>
      <c r="B146" t="s">
        <v>259</v>
      </c>
      <c r="C146" t="s">
        <v>35</v>
      </c>
      <c r="D146">
        <v>4</v>
      </c>
      <c r="E146" t="s">
        <v>86</v>
      </c>
      <c r="F146" t="s">
        <v>83</v>
      </c>
    </row>
    <row r="147" spans="1:6" x14ac:dyDescent="0.3">
      <c r="A147" t="s">
        <v>351</v>
      </c>
      <c r="B147" t="s">
        <v>352</v>
      </c>
      <c r="C147" t="s">
        <v>54</v>
      </c>
      <c r="D147">
        <v>11</v>
      </c>
      <c r="E147" t="s">
        <v>91</v>
      </c>
      <c r="F147" t="s">
        <v>78</v>
      </c>
    </row>
    <row r="148" spans="1:6" x14ac:dyDescent="0.3">
      <c r="A148" t="s">
        <v>353</v>
      </c>
      <c r="B148" t="s">
        <v>354</v>
      </c>
      <c r="C148" t="s">
        <v>355</v>
      </c>
      <c r="D148">
        <v>4</v>
      </c>
      <c r="E148" t="s">
        <v>77</v>
      </c>
      <c r="F148" t="s">
        <v>92</v>
      </c>
    </row>
    <row r="149" spans="1:6" x14ac:dyDescent="0.3">
      <c r="A149" t="s">
        <v>356</v>
      </c>
      <c r="B149" t="s">
        <v>357</v>
      </c>
      <c r="C149" t="s">
        <v>49</v>
      </c>
      <c r="D149">
        <v>14</v>
      </c>
      <c r="E149" t="s">
        <v>91</v>
      </c>
      <c r="F149" t="s">
        <v>83</v>
      </c>
    </row>
    <row r="150" spans="1:6" x14ac:dyDescent="0.3">
      <c r="A150" t="s">
        <v>358</v>
      </c>
      <c r="B150" t="s">
        <v>272</v>
      </c>
      <c r="C150" t="s">
        <v>43</v>
      </c>
      <c r="D150">
        <v>9</v>
      </c>
      <c r="E150" t="s">
        <v>77</v>
      </c>
      <c r="F150" t="s">
        <v>83</v>
      </c>
    </row>
    <row r="151" spans="1:6" x14ac:dyDescent="0.3">
      <c r="A151" t="s">
        <v>359</v>
      </c>
      <c r="B151" t="s">
        <v>157</v>
      </c>
      <c r="C151" t="s">
        <v>28</v>
      </c>
      <c r="D151">
        <v>8</v>
      </c>
      <c r="E151" t="s">
        <v>82</v>
      </c>
      <c r="F151" t="s">
        <v>92</v>
      </c>
    </row>
    <row r="152" spans="1:6" x14ac:dyDescent="0.3">
      <c r="A152" t="s">
        <v>360</v>
      </c>
      <c r="B152" t="s">
        <v>361</v>
      </c>
      <c r="C152" t="s">
        <v>43</v>
      </c>
      <c r="D152">
        <v>13</v>
      </c>
      <c r="E152" t="s">
        <v>91</v>
      </c>
      <c r="F152" t="s">
        <v>78</v>
      </c>
    </row>
    <row r="153" spans="1:6" x14ac:dyDescent="0.3">
      <c r="A153" t="s">
        <v>362</v>
      </c>
      <c r="B153" t="s">
        <v>203</v>
      </c>
      <c r="C153" t="s">
        <v>12</v>
      </c>
      <c r="D153">
        <v>7</v>
      </c>
      <c r="E153" t="s">
        <v>91</v>
      </c>
      <c r="F153" t="s">
        <v>83</v>
      </c>
    </row>
    <row r="154" spans="1:6" x14ac:dyDescent="0.3">
      <c r="A154" t="s">
        <v>363</v>
      </c>
      <c r="B154" t="s">
        <v>364</v>
      </c>
      <c r="C154" t="s">
        <v>66</v>
      </c>
      <c r="D154">
        <v>12</v>
      </c>
      <c r="E154" t="s">
        <v>91</v>
      </c>
      <c r="F154" t="s">
        <v>92</v>
      </c>
    </row>
    <row r="155" spans="1:6" x14ac:dyDescent="0.3">
      <c r="A155" t="s">
        <v>365</v>
      </c>
      <c r="B155" t="s">
        <v>366</v>
      </c>
      <c r="C155" t="s">
        <v>14</v>
      </c>
      <c r="D155">
        <v>7</v>
      </c>
      <c r="E155" t="s">
        <v>82</v>
      </c>
      <c r="F155" t="s">
        <v>78</v>
      </c>
    </row>
    <row r="156" spans="1:6" x14ac:dyDescent="0.3">
      <c r="A156" t="s">
        <v>367</v>
      </c>
      <c r="B156" t="s">
        <v>368</v>
      </c>
      <c r="C156" t="s">
        <v>68</v>
      </c>
      <c r="D156">
        <v>12</v>
      </c>
      <c r="E156" t="s">
        <v>82</v>
      </c>
      <c r="F156" t="s">
        <v>83</v>
      </c>
    </row>
    <row r="157" spans="1:6" x14ac:dyDescent="0.3">
      <c r="A157" t="s">
        <v>369</v>
      </c>
      <c r="B157" t="s">
        <v>370</v>
      </c>
      <c r="C157" t="s">
        <v>66</v>
      </c>
      <c r="D157">
        <v>7</v>
      </c>
      <c r="E157" t="s">
        <v>82</v>
      </c>
      <c r="F157" t="s">
        <v>78</v>
      </c>
    </row>
    <row r="158" spans="1:6" x14ac:dyDescent="0.3">
      <c r="A158" t="s">
        <v>371</v>
      </c>
      <c r="B158" t="s">
        <v>372</v>
      </c>
      <c r="C158" t="s">
        <v>20</v>
      </c>
      <c r="D158">
        <v>5</v>
      </c>
      <c r="E158" t="s">
        <v>82</v>
      </c>
      <c r="F158" t="s">
        <v>78</v>
      </c>
    </row>
    <row r="159" spans="1:6" x14ac:dyDescent="0.3">
      <c r="A159" t="s">
        <v>373</v>
      </c>
      <c r="B159" t="s">
        <v>374</v>
      </c>
      <c r="C159" t="s">
        <v>39</v>
      </c>
      <c r="D159">
        <v>8</v>
      </c>
      <c r="E159" t="s">
        <v>77</v>
      </c>
      <c r="F159" t="s">
        <v>92</v>
      </c>
    </row>
    <row r="160" spans="1:6" x14ac:dyDescent="0.3">
      <c r="A160" t="s">
        <v>375</v>
      </c>
      <c r="B160" t="s">
        <v>376</v>
      </c>
      <c r="C160" t="s">
        <v>66</v>
      </c>
      <c r="D160">
        <v>6</v>
      </c>
      <c r="E160" t="s">
        <v>86</v>
      </c>
      <c r="F160" t="s">
        <v>92</v>
      </c>
    </row>
    <row r="161" spans="1:6" x14ac:dyDescent="0.3">
      <c r="A161" t="s">
        <v>377</v>
      </c>
      <c r="B161" t="s">
        <v>282</v>
      </c>
      <c r="C161" t="s">
        <v>47</v>
      </c>
      <c r="D161">
        <v>9</v>
      </c>
      <c r="E161" t="s">
        <v>86</v>
      </c>
      <c r="F161" t="s">
        <v>83</v>
      </c>
    </row>
    <row r="162" spans="1:6" x14ac:dyDescent="0.3">
      <c r="A162" t="s">
        <v>378</v>
      </c>
      <c r="B162" t="s">
        <v>379</v>
      </c>
      <c r="C162" t="s">
        <v>35</v>
      </c>
      <c r="D162">
        <v>14</v>
      </c>
      <c r="E162" t="s">
        <v>82</v>
      </c>
      <c r="F162" t="s">
        <v>78</v>
      </c>
    </row>
    <row r="163" spans="1:6" x14ac:dyDescent="0.3">
      <c r="A163" t="s">
        <v>380</v>
      </c>
      <c r="B163" t="s">
        <v>286</v>
      </c>
      <c r="C163" t="s">
        <v>7</v>
      </c>
      <c r="D163">
        <v>13</v>
      </c>
      <c r="E163" t="s">
        <v>77</v>
      </c>
      <c r="F163" t="s">
        <v>83</v>
      </c>
    </row>
    <row r="164" spans="1:6" x14ac:dyDescent="0.3">
      <c r="A164" t="s">
        <v>381</v>
      </c>
      <c r="B164" t="s">
        <v>382</v>
      </c>
      <c r="C164" t="s">
        <v>10</v>
      </c>
      <c r="D164">
        <v>8</v>
      </c>
      <c r="E164" t="s">
        <v>86</v>
      </c>
      <c r="F164" t="s">
        <v>78</v>
      </c>
    </row>
    <row r="165" spans="1:6" x14ac:dyDescent="0.3">
      <c r="A165" t="s">
        <v>383</v>
      </c>
      <c r="B165" t="s">
        <v>384</v>
      </c>
      <c r="C165" t="s">
        <v>18</v>
      </c>
      <c r="D165">
        <v>10</v>
      </c>
      <c r="E165" t="s">
        <v>86</v>
      </c>
      <c r="F165" t="s">
        <v>78</v>
      </c>
    </row>
    <row r="166" spans="1:6" x14ac:dyDescent="0.3">
      <c r="A166" t="s">
        <v>385</v>
      </c>
      <c r="B166" t="s">
        <v>386</v>
      </c>
      <c r="C166" t="s">
        <v>62</v>
      </c>
      <c r="D166">
        <v>10</v>
      </c>
      <c r="E166" t="s">
        <v>82</v>
      </c>
      <c r="F166" t="s">
        <v>92</v>
      </c>
    </row>
    <row r="167" spans="1:6" x14ac:dyDescent="0.3">
      <c r="A167" t="s">
        <v>387</v>
      </c>
      <c r="B167" t="s">
        <v>388</v>
      </c>
      <c r="C167" t="s">
        <v>18</v>
      </c>
      <c r="D167">
        <v>14</v>
      </c>
      <c r="E167" t="s">
        <v>86</v>
      </c>
      <c r="F167" t="s">
        <v>78</v>
      </c>
    </row>
    <row r="168" spans="1:6" x14ac:dyDescent="0.3">
      <c r="A168" t="s">
        <v>389</v>
      </c>
      <c r="B168" t="s">
        <v>220</v>
      </c>
      <c r="C168" t="s">
        <v>7</v>
      </c>
      <c r="D168">
        <v>4</v>
      </c>
      <c r="E168" t="s">
        <v>91</v>
      </c>
      <c r="F168" t="s">
        <v>78</v>
      </c>
    </row>
    <row r="169" spans="1:6" x14ac:dyDescent="0.3">
      <c r="A169" t="s">
        <v>390</v>
      </c>
      <c r="B169" t="s">
        <v>391</v>
      </c>
      <c r="C169" t="s">
        <v>22</v>
      </c>
      <c r="D169">
        <v>5</v>
      </c>
      <c r="E169" t="s">
        <v>82</v>
      </c>
      <c r="F169" t="s">
        <v>83</v>
      </c>
    </row>
    <row r="170" spans="1:6" x14ac:dyDescent="0.3">
      <c r="A170" t="s">
        <v>392</v>
      </c>
      <c r="B170" t="s">
        <v>118</v>
      </c>
      <c r="C170" t="s">
        <v>37</v>
      </c>
      <c r="D170">
        <v>2</v>
      </c>
      <c r="E170" t="s">
        <v>77</v>
      </c>
      <c r="F170" t="s">
        <v>78</v>
      </c>
    </row>
    <row r="171" spans="1:6" x14ac:dyDescent="0.3">
      <c r="A171" t="s">
        <v>393</v>
      </c>
      <c r="B171" t="s">
        <v>394</v>
      </c>
      <c r="C171" t="s">
        <v>12</v>
      </c>
      <c r="D171">
        <v>2</v>
      </c>
      <c r="E171" t="s">
        <v>82</v>
      </c>
      <c r="F171" t="s">
        <v>83</v>
      </c>
    </row>
    <row r="172" spans="1:6" x14ac:dyDescent="0.3">
      <c r="A172" t="s">
        <v>395</v>
      </c>
      <c r="B172" t="s">
        <v>396</v>
      </c>
      <c r="C172" t="s">
        <v>397</v>
      </c>
      <c r="D172">
        <v>12</v>
      </c>
      <c r="E172" t="s">
        <v>86</v>
      </c>
      <c r="F172" t="s">
        <v>83</v>
      </c>
    </row>
    <row r="173" spans="1:6" x14ac:dyDescent="0.3">
      <c r="A173" t="s">
        <v>398</v>
      </c>
      <c r="B173" t="s">
        <v>399</v>
      </c>
      <c r="C173" t="s">
        <v>10</v>
      </c>
      <c r="D173">
        <v>13</v>
      </c>
      <c r="E173" t="s">
        <v>77</v>
      </c>
      <c r="F173" t="s">
        <v>83</v>
      </c>
    </row>
    <row r="174" spans="1:6" x14ac:dyDescent="0.3">
      <c r="A174" t="s">
        <v>400</v>
      </c>
      <c r="B174" t="s">
        <v>401</v>
      </c>
      <c r="C174" t="s">
        <v>56</v>
      </c>
      <c r="D174">
        <v>12</v>
      </c>
      <c r="E174" t="s">
        <v>77</v>
      </c>
      <c r="F174" t="s">
        <v>92</v>
      </c>
    </row>
    <row r="175" spans="1:6" x14ac:dyDescent="0.3">
      <c r="A175" t="s">
        <v>402</v>
      </c>
      <c r="B175" t="s">
        <v>132</v>
      </c>
      <c r="C175" t="s">
        <v>64</v>
      </c>
      <c r="D175">
        <v>12</v>
      </c>
      <c r="E175" t="s">
        <v>82</v>
      </c>
      <c r="F175" t="s">
        <v>92</v>
      </c>
    </row>
    <row r="176" spans="1:6" x14ac:dyDescent="0.3">
      <c r="A176" t="s">
        <v>403</v>
      </c>
      <c r="B176" t="s">
        <v>404</v>
      </c>
      <c r="C176" t="s">
        <v>10</v>
      </c>
      <c r="D176">
        <v>10</v>
      </c>
      <c r="E176" t="s">
        <v>86</v>
      </c>
      <c r="F176" t="s">
        <v>78</v>
      </c>
    </row>
    <row r="177" spans="1:6" x14ac:dyDescent="0.3">
      <c r="A177" t="s">
        <v>405</v>
      </c>
      <c r="B177" t="s">
        <v>406</v>
      </c>
      <c r="C177" t="s">
        <v>10</v>
      </c>
      <c r="D177">
        <v>6</v>
      </c>
      <c r="E177" t="s">
        <v>86</v>
      </c>
      <c r="F177" t="s">
        <v>92</v>
      </c>
    </row>
    <row r="178" spans="1:6" x14ac:dyDescent="0.3">
      <c r="A178" t="s">
        <v>407</v>
      </c>
      <c r="B178" t="s">
        <v>408</v>
      </c>
      <c r="C178" t="s">
        <v>16</v>
      </c>
      <c r="D178">
        <v>4</v>
      </c>
      <c r="E178" t="s">
        <v>86</v>
      </c>
      <c r="F178" t="s">
        <v>83</v>
      </c>
    </row>
    <row r="179" spans="1:6" x14ac:dyDescent="0.3">
      <c r="A179" t="s">
        <v>409</v>
      </c>
      <c r="B179" t="s">
        <v>410</v>
      </c>
      <c r="C179" t="s">
        <v>37</v>
      </c>
      <c r="D179">
        <v>8</v>
      </c>
      <c r="E179" t="s">
        <v>77</v>
      </c>
      <c r="F179" t="s">
        <v>83</v>
      </c>
    </row>
    <row r="180" spans="1:6" x14ac:dyDescent="0.3">
      <c r="A180" t="s">
        <v>411</v>
      </c>
      <c r="B180" t="s">
        <v>80</v>
      </c>
      <c r="C180" t="s">
        <v>105</v>
      </c>
      <c r="D180">
        <v>13</v>
      </c>
      <c r="E180" t="s">
        <v>86</v>
      </c>
      <c r="F180" t="s">
        <v>83</v>
      </c>
    </row>
    <row r="181" spans="1:6" x14ac:dyDescent="0.3">
      <c r="A181" t="s">
        <v>412</v>
      </c>
      <c r="B181" t="s">
        <v>169</v>
      </c>
      <c r="C181" t="s">
        <v>22</v>
      </c>
      <c r="D181">
        <v>6</v>
      </c>
      <c r="E181" t="s">
        <v>91</v>
      </c>
      <c r="F181" t="s">
        <v>83</v>
      </c>
    </row>
    <row r="182" spans="1:6" x14ac:dyDescent="0.3">
      <c r="A182" t="s">
        <v>413</v>
      </c>
      <c r="B182" t="s">
        <v>414</v>
      </c>
      <c r="C182" t="s">
        <v>66</v>
      </c>
      <c r="D182">
        <v>10</v>
      </c>
      <c r="E182" t="s">
        <v>77</v>
      </c>
      <c r="F182" t="s">
        <v>78</v>
      </c>
    </row>
    <row r="183" spans="1:6" x14ac:dyDescent="0.3">
      <c r="A183" t="s">
        <v>415</v>
      </c>
      <c r="B183" t="s">
        <v>416</v>
      </c>
      <c r="C183" t="s">
        <v>52</v>
      </c>
      <c r="D183">
        <v>7</v>
      </c>
      <c r="E183" t="s">
        <v>77</v>
      </c>
      <c r="F183" t="s">
        <v>78</v>
      </c>
    </row>
    <row r="184" spans="1:6" x14ac:dyDescent="0.3">
      <c r="A184" t="s">
        <v>417</v>
      </c>
      <c r="B184" t="s">
        <v>205</v>
      </c>
      <c r="C184" t="s">
        <v>54</v>
      </c>
      <c r="D184">
        <v>14</v>
      </c>
      <c r="E184" t="s">
        <v>82</v>
      </c>
      <c r="F184" t="s">
        <v>83</v>
      </c>
    </row>
    <row r="185" spans="1:6" x14ac:dyDescent="0.3">
      <c r="A185" t="s">
        <v>418</v>
      </c>
      <c r="B185" t="s">
        <v>419</v>
      </c>
      <c r="C185" t="s">
        <v>26</v>
      </c>
      <c r="D185">
        <v>12</v>
      </c>
      <c r="E185" t="s">
        <v>77</v>
      </c>
      <c r="F185" t="s">
        <v>92</v>
      </c>
    </row>
    <row r="186" spans="1:6" x14ac:dyDescent="0.3">
      <c r="A186" t="s">
        <v>420</v>
      </c>
      <c r="B186" t="s">
        <v>203</v>
      </c>
      <c r="C186" t="s">
        <v>47</v>
      </c>
      <c r="D186">
        <v>13</v>
      </c>
      <c r="E186" t="s">
        <v>86</v>
      </c>
      <c r="F186" t="s">
        <v>92</v>
      </c>
    </row>
    <row r="187" spans="1:6" x14ac:dyDescent="0.3">
      <c r="A187" t="s">
        <v>421</v>
      </c>
      <c r="B187" t="s">
        <v>422</v>
      </c>
      <c r="C187" t="s">
        <v>14</v>
      </c>
      <c r="D187">
        <v>11</v>
      </c>
      <c r="E187" t="s">
        <v>77</v>
      </c>
      <c r="F187" t="s">
        <v>78</v>
      </c>
    </row>
    <row r="188" spans="1:6" x14ac:dyDescent="0.3">
      <c r="A188" t="s">
        <v>423</v>
      </c>
      <c r="B188" t="s">
        <v>424</v>
      </c>
      <c r="C188" t="s">
        <v>60</v>
      </c>
      <c r="D188">
        <v>4</v>
      </c>
      <c r="E188" t="s">
        <v>91</v>
      </c>
      <c r="F188" t="s">
        <v>83</v>
      </c>
    </row>
    <row r="189" spans="1:6" x14ac:dyDescent="0.3">
      <c r="A189" t="s">
        <v>425</v>
      </c>
      <c r="B189" t="s">
        <v>171</v>
      </c>
      <c r="C189" t="s">
        <v>45</v>
      </c>
      <c r="D189">
        <v>4</v>
      </c>
      <c r="E189" t="s">
        <v>91</v>
      </c>
      <c r="F189" t="s">
        <v>92</v>
      </c>
    </row>
    <row r="190" spans="1:6" x14ac:dyDescent="0.3">
      <c r="A190" t="s">
        <v>426</v>
      </c>
      <c r="B190" t="s">
        <v>96</v>
      </c>
      <c r="C190" t="s">
        <v>33</v>
      </c>
      <c r="D190">
        <v>10</v>
      </c>
      <c r="E190" t="s">
        <v>86</v>
      </c>
      <c r="F190" t="s">
        <v>92</v>
      </c>
    </row>
    <row r="191" spans="1:6" x14ac:dyDescent="0.3">
      <c r="A191" t="s">
        <v>427</v>
      </c>
      <c r="B191" t="s">
        <v>80</v>
      </c>
      <c r="C191" t="s">
        <v>66</v>
      </c>
      <c r="D191">
        <v>8</v>
      </c>
      <c r="E191" t="s">
        <v>77</v>
      </c>
      <c r="F191" t="s">
        <v>78</v>
      </c>
    </row>
    <row r="192" spans="1:6" x14ac:dyDescent="0.3">
      <c r="A192" t="s">
        <v>428</v>
      </c>
      <c r="B192" t="s">
        <v>429</v>
      </c>
      <c r="C192" t="s">
        <v>66</v>
      </c>
      <c r="D192">
        <v>2</v>
      </c>
      <c r="E192" t="s">
        <v>82</v>
      </c>
      <c r="F192" t="s">
        <v>78</v>
      </c>
    </row>
    <row r="193" spans="1:6" x14ac:dyDescent="0.3">
      <c r="A193" t="s">
        <v>430</v>
      </c>
      <c r="B193" t="s">
        <v>431</v>
      </c>
      <c r="C193" t="s">
        <v>45</v>
      </c>
      <c r="D193">
        <v>6</v>
      </c>
      <c r="E193" t="s">
        <v>82</v>
      </c>
      <c r="F193" t="s">
        <v>78</v>
      </c>
    </row>
    <row r="194" spans="1:6" x14ac:dyDescent="0.3">
      <c r="A194" t="s">
        <v>432</v>
      </c>
      <c r="B194" t="s">
        <v>132</v>
      </c>
      <c r="C194" t="s">
        <v>28</v>
      </c>
      <c r="D194">
        <v>10</v>
      </c>
      <c r="E194" t="s">
        <v>82</v>
      </c>
      <c r="F194" t="s">
        <v>92</v>
      </c>
    </row>
    <row r="195" spans="1:6" x14ac:dyDescent="0.3">
      <c r="A195" t="s">
        <v>433</v>
      </c>
      <c r="B195" t="s">
        <v>328</v>
      </c>
      <c r="C195" t="s">
        <v>31</v>
      </c>
      <c r="D195">
        <v>4</v>
      </c>
      <c r="E195" t="s">
        <v>91</v>
      </c>
      <c r="F195" t="s">
        <v>92</v>
      </c>
    </row>
    <row r="196" spans="1:6" x14ac:dyDescent="0.3">
      <c r="A196" t="s">
        <v>434</v>
      </c>
      <c r="B196" t="s">
        <v>118</v>
      </c>
      <c r="C196" t="s">
        <v>105</v>
      </c>
      <c r="D196">
        <v>13</v>
      </c>
      <c r="E196" t="s">
        <v>82</v>
      </c>
      <c r="F196" t="s">
        <v>83</v>
      </c>
    </row>
    <row r="197" spans="1:6" x14ac:dyDescent="0.3">
      <c r="A197" t="s">
        <v>435</v>
      </c>
      <c r="B197" t="s">
        <v>436</v>
      </c>
      <c r="C197" t="s">
        <v>54</v>
      </c>
      <c r="D197">
        <v>10</v>
      </c>
      <c r="E197" t="s">
        <v>77</v>
      </c>
      <c r="F197" t="s">
        <v>83</v>
      </c>
    </row>
    <row r="198" spans="1:6" x14ac:dyDescent="0.3">
      <c r="A198" t="s">
        <v>437</v>
      </c>
      <c r="B198" t="s">
        <v>147</v>
      </c>
      <c r="C198" t="s">
        <v>37</v>
      </c>
      <c r="D198">
        <v>1</v>
      </c>
      <c r="E198" t="s">
        <v>86</v>
      </c>
      <c r="F198" t="s">
        <v>78</v>
      </c>
    </row>
    <row r="199" spans="1:6" x14ac:dyDescent="0.3">
      <c r="A199" t="s">
        <v>438</v>
      </c>
      <c r="B199" t="s">
        <v>439</v>
      </c>
      <c r="C199" t="s">
        <v>52</v>
      </c>
      <c r="D199">
        <v>3</v>
      </c>
      <c r="E199" t="s">
        <v>86</v>
      </c>
      <c r="F199" t="s">
        <v>83</v>
      </c>
    </row>
    <row r="200" spans="1:6" x14ac:dyDescent="0.3">
      <c r="A200" t="s">
        <v>440</v>
      </c>
      <c r="B200" t="s">
        <v>441</v>
      </c>
      <c r="C200" t="s">
        <v>62</v>
      </c>
      <c r="D200">
        <v>7</v>
      </c>
      <c r="E200" t="s">
        <v>77</v>
      </c>
      <c r="F200" t="s">
        <v>83</v>
      </c>
    </row>
    <row r="201" spans="1:6" x14ac:dyDescent="0.3">
      <c r="A201" t="s">
        <v>442</v>
      </c>
      <c r="B201" t="s">
        <v>111</v>
      </c>
      <c r="C201" t="s">
        <v>31</v>
      </c>
      <c r="D201">
        <v>5</v>
      </c>
      <c r="E201" t="s">
        <v>91</v>
      </c>
      <c r="F201" t="s">
        <v>83</v>
      </c>
    </row>
    <row r="202" spans="1:6" x14ac:dyDescent="0.3">
      <c r="A202" t="s">
        <v>443</v>
      </c>
      <c r="B202" t="s">
        <v>444</v>
      </c>
      <c r="C202" t="s">
        <v>35</v>
      </c>
      <c r="D202">
        <v>4</v>
      </c>
      <c r="E202" t="s">
        <v>91</v>
      </c>
      <c r="F202" t="s">
        <v>83</v>
      </c>
    </row>
    <row r="203" spans="1:6" x14ac:dyDescent="0.3">
      <c r="A203" t="s">
        <v>445</v>
      </c>
      <c r="B203" t="s">
        <v>446</v>
      </c>
      <c r="C203" t="s">
        <v>39</v>
      </c>
      <c r="D203">
        <v>13</v>
      </c>
      <c r="E203" t="s">
        <v>86</v>
      </c>
      <c r="F203" t="s">
        <v>92</v>
      </c>
    </row>
    <row r="204" spans="1:6" x14ac:dyDescent="0.3">
      <c r="A204" t="s">
        <v>447</v>
      </c>
      <c r="B204" t="s">
        <v>448</v>
      </c>
      <c r="C204" t="s">
        <v>31</v>
      </c>
      <c r="D204">
        <v>11</v>
      </c>
      <c r="E204" t="s">
        <v>82</v>
      </c>
      <c r="F204" t="s">
        <v>92</v>
      </c>
    </row>
    <row r="205" spans="1:6" x14ac:dyDescent="0.3">
      <c r="A205" t="s">
        <v>449</v>
      </c>
      <c r="B205" t="s">
        <v>118</v>
      </c>
      <c r="C205" t="s">
        <v>12</v>
      </c>
      <c r="D205">
        <v>9</v>
      </c>
      <c r="E205" t="s">
        <v>82</v>
      </c>
      <c r="F205" t="s">
        <v>92</v>
      </c>
    </row>
    <row r="206" spans="1:6" x14ac:dyDescent="0.3">
      <c r="A206" t="s">
        <v>450</v>
      </c>
      <c r="B206" t="s">
        <v>368</v>
      </c>
      <c r="C206" t="s">
        <v>66</v>
      </c>
      <c r="D206">
        <v>12</v>
      </c>
      <c r="E206" t="s">
        <v>91</v>
      </c>
      <c r="F206" t="s">
        <v>78</v>
      </c>
    </row>
    <row r="207" spans="1:6" x14ac:dyDescent="0.3">
      <c r="A207" t="s">
        <v>451</v>
      </c>
      <c r="B207" t="s">
        <v>452</v>
      </c>
      <c r="C207" t="s">
        <v>24</v>
      </c>
      <c r="D207">
        <v>4</v>
      </c>
      <c r="E207" t="s">
        <v>82</v>
      </c>
      <c r="F207" t="s">
        <v>92</v>
      </c>
    </row>
    <row r="208" spans="1:6" x14ac:dyDescent="0.3">
      <c r="A208" t="s">
        <v>453</v>
      </c>
      <c r="B208" t="s">
        <v>454</v>
      </c>
      <c r="C208" t="s">
        <v>58</v>
      </c>
      <c r="D208">
        <v>12</v>
      </c>
      <c r="E208" t="s">
        <v>86</v>
      </c>
      <c r="F208" t="s">
        <v>92</v>
      </c>
    </row>
    <row r="209" spans="1:6" x14ac:dyDescent="0.3">
      <c r="A209" t="s">
        <v>455</v>
      </c>
      <c r="B209" t="s">
        <v>456</v>
      </c>
      <c r="C209" t="s">
        <v>253</v>
      </c>
      <c r="D209">
        <v>14</v>
      </c>
      <c r="E209" t="s">
        <v>86</v>
      </c>
      <c r="F209" t="s">
        <v>92</v>
      </c>
    </row>
    <row r="210" spans="1:6" x14ac:dyDescent="0.3">
      <c r="A210" t="s">
        <v>457</v>
      </c>
      <c r="B210" t="s">
        <v>458</v>
      </c>
      <c r="C210" t="s">
        <v>10</v>
      </c>
      <c r="D210">
        <v>10</v>
      </c>
      <c r="E210" t="s">
        <v>91</v>
      </c>
      <c r="F210" t="s">
        <v>92</v>
      </c>
    </row>
    <row r="211" spans="1:6" x14ac:dyDescent="0.3">
      <c r="A211" t="s">
        <v>459</v>
      </c>
      <c r="B211" t="s">
        <v>460</v>
      </c>
      <c r="C211" t="s">
        <v>28</v>
      </c>
      <c r="D211">
        <v>2</v>
      </c>
      <c r="E211" t="s">
        <v>91</v>
      </c>
      <c r="F211" t="s">
        <v>78</v>
      </c>
    </row>
    <row r="212" spans="1:6" x14ac:dyDescent="0.3">
      <c r="A212" t="s">
        <v>461</v>
      </c>
      <c r="B212" t="s">
        <v>462</v>
      </c>
      <c r="C212" t="s">
        <v>463</v>
      </c>
      <c r="D212">
        <v>7</v>
      </c>
      <c r="E212" t="s">
        <v>91</v>
      </c>
      <c r="F212" t="s">
        <v>92</v>
      </c>
    </row>
    <row r="213" spans="1:6" x14ac:dyDescent="0.3">
      <c r="A213" t="s">
        <v>464</v>
      </c>
      <c r="B213" t="s">
        <v>465</v>
      </c>
      <c r="C213" t="s">
        <v>12</v>
      </c>
      <c r="D213">
        <v>9</v>
      </c>
      <c r="E213" t="s">
        <v>82</v>
      </c>
      <c r="F213" t="s">
        <v>83</v>
      </c>
    </row>
    <row r="214" spans="1:6" x14ac:dyDescent="0.3">
      <c r="A214" t="s">
        <v>466</v>
      </c>
      <c r="B214" t="s">
        <v>467</v>
      </c>
      <c r="C214" t="s">
        <v>66</v>
      </c>
      <c r="D214">
        <v>1</v>
      </c>
      <c r="E214" t="s">
        <v>77</v>
      </c>
      <c r="F214" t="s">
        <v>83</v>
      </c>
    </row>
    <row r="215" spans="1:6" x14ac:dyDescent="0.3">
      <c r="A215" t="s">
        <v>468</v>
      </c>
      <c r="B215" t="s">
        <v>469</v>
      </c>
      <c r="C215" t="s">
        <v>41</v>
      </c>
      <c r="D215">
        <v>11</v>
      </c>
      <c r="E215" t="s">
        <v>86</v>
      </c>
      <c r="F215" t="s">
        <v>83</v>
      </c>
    </row>
    <row r="216" spans="1:6" x14ac:dyDescent="0.3">
      <c r="A216" t="s">
        <v>470</v>
      </c>
      <c r="B216" t="s">
        <v>471</v>
      </c>
      <c r="C216" t="s">
        <v>472</v>
      </c>
      <c r="D216">
        <v>8</v>
      </c>
      <c r="E216" t="s">
        <v>82</v>
      </c>
      <c r="F216" t="s">
        <v>78</v>
      </c>
    </row>
    <row r="217" spans="1:6" x14ac:dyDescent="0.3">
      <c r="A217" t="s">
        <v>473</v>
      </c>
      <c r="B217" t="s">
        <v>471</v>
      </c>
      <c r="C217" t="s">
        <v>12</v>
      </c>
      <c r="D217">
        <v>5</v>
      </c>
      <c r="E217" t="s">
        <v>86</v>
      </c>
      <c r="F217" t="s">
        <v>83</v>
      </c>
    </row>
    <row r="218" spans="1:6" x14ac:dyDescent="0.3">
      <c r="A218" t="s">
        <v>474</v>
      </c>
      <c r="B218" t="s">
        <v>187</v>
      </c>
      <c r="C218" t="s">
        <v>43</v>
      </c>
      <c r="D218">
        <v>4</v>
      </c>
      <c r="E218" t="s">
        <v>77</v>
      </c>
      <c r="F218" t="s">
        <v>83</v>
      </c>
    </row>
    <row r="219" spans="1:6" x14ac:dyDescent="0.3">
      <c r="A219" t="s">
        <v>475</v>
      </c>
      <c r="B219" t="s">
        <v>121</v>
      </c>
      <c r="C219" t="s">
        <v>18</v>
      </c>
      <c r="D219">
        <v>14</v>
      </c>
      <c r="E219" t="s">
        <v>86</v>
      </c>
      <c r="F219" t="s">
        <v>83</v>
      </c>
    </row>
    <row r="220" spans="1:6" x14ac:dyDescent="0.3">
      <c r="A220" t="s">
        <v>476</v>
      </c>
      <c r="B220" t="s">
        <v>477</v>
      </c>
      <c r="C220" t="s">
        <v>26</v>
      </c>
      <c r="D220">
        <v>3</v>
      </c>
      <c r="E220" t="s">
        <v>86</v>
      </c>
      <c r="F220" t="s">
        <v>92</v>
      </c>
    </row>
    <row r="221" spans="1:6" x14ac:dyDescent="0.3">
      <c r="A221" t="s">
        <v>478</v>
      </c>
      <c r="B221" t="s">
        <v>479</v>
      </c>
      <c r="C221" t="s">
        <v>26</v>
      </c>
      <c r="D221">
        <v>4</v>
      </c>
      <c r="E221" t="s">
        <v>77</v>
      </c>
      <c r="F221" t="s">
        <v>83</v>
      </c>
    </row>
    <row r="222" spans="1:6" x14ac:dyDescent="0.3">
      <c r="A222" t="s">
        <v>480</v>
      </c>
      <c r="B222" t="s">
        <v>481</v>
      </c>
      <c r="C222" t="s">
        <v>12</v>
      </c>
      <c r="D222">
        <v>4</v>
      </c>
      <c r="E222" t="s">
        <v>86</v>
      </c>
      <c r="F222" t="s">
        <v>92</v>
      </c>
    </row>
    <row r="223" spans="1:6" x14ac:dyDescent="0.3">
      <c r="A223" t="s">
        <v>482</v>
      </c>
      <c r="B223" t="s">
        <v>483</v>
      </c>
      <c r="C223" t="s">
        <v>60</v>
      </c>
      <c r="D223">
        <v>13</v>
      </c>
      <c r="E223" t="s">
        <v>86</v>
      </c>
      <c r="F223" t="s">
        <v>92</v>
      </c>
    </row>
    <row r="224" spans="1:6" x14ac:dyDescent="0.3">
      <c r="A224" t="s">
        <v>484</v>
      </c>
      <c r="B224" t="s">
        <v>485</v>
      </c>
      <c r="C224" t="s">
        <v>28</v>
      </c>
      <c r="D224">
        <v>5</v>
      </c>
      <c r="E224" t="s">
        <v>77</v>
      </c>
      <c r="F224" t="s">
        <v>83</v>
      </c>
    </row>
    <row r="225" spans="1:6" x14ac:dyDescent="0.3">
      <c r="A225" t="s">
        <v>486</v>
      </c>
      <c r="B225" t="s">
        <v>388</v>
      </c>
      <c r="C225" t="s">
        <v>28</v>
      </c>
      <c r="D225">
        <v>12</v>
      </c>
      <c r="E225" t="s">
        <v>91</v>
      </c>
      <c r="F225" t="s">
        <v>78</v>
      </c>
    </row>
    <row r="226" spans="1:6" x14ac:dyDescent="0.3">
      <c r="A226" t="s">
        <v>487</v>
      </c>
      <c r="B226" t="s">
        <v>374</v>
      </c>
      <c r="C226" t="s">
        <v>52</v>
      </c>
      <c r="D226">
        <v>9</v>
      </c>
      <c r="E226" t="s">
        <v>77</v>
      </c>
      <c r="F226" t="s">
        <v>92</v>
      </c>
    </row>
    <row r="227" spans="1:6" x14ac:dyDescent="0.3">
      <c r="A227" t="s">
        <v>488</v>
      </c>
      <c r="B227" t="s">
        <v>489</v>
      </c>
      <c r="C227" t="s">
        <v>33</v>
      </c>
      <c r="D227">
        <v>14</v>
      </c>
      <c r="E227" t="s">
        <v>82</v>
      </c>
      <c r="F227" t="s">
        <v>83</v>
      </c>
    </row>
    <row r="228" spans="1:6" x14ac:dyDescent="0.3">
      <c r="A228" t="s">
        <v>490</v>
      </c>
      <c r="B228" t="s">
        <v>155</v>
      </c>
      <c r="C228" t="s">
        <v>14</v>
      </c>
      <c r="D228">
        <v>1</v>
      </c>
      <c r="E228" t="s">
        <v>77</v>
      </c>
      <c r="F228" t="s">
        <v>92</v>
      </c>
    </row>
    <row r="229" spans="1:6" x14ac:dyDescent="0.3">
      <c r="A229" t="s">
        <v>491</v>
      </c>
      <c r="B229" t="s">
        <v>492</v>
      </c>
      <c r="C229" t="s">
        <v>31</v>
      </c>
      <c r="D229">
        <v>1</v>
      </c>
      <c r="E229" t="s">
        <v>77</v>
      </c>
      <c r="F229" t="s">
        <v>92</v>
      </c>
    </row>
    <row r="230" spans="1:6" x14ac:dyDescent="0.3">
      <c r="A230" t="s">
        <v>493</v>
      </c>
      <c r="B230" t="s">
        <v>113</v>
      </c>
      <c r="C230" t="s">
        <v>14</v>
      </c>
      <c r="D230">
        <v>7</v>
      </c>
      <c r="E230" t="s">
        <v>91</v>
      </c>
      <c r="F230" t="s">
        <v>83</v>
      </c>
    </row>
    <row r="231" spans="1:6" x14ac:dyDescent="0.3">
      <c r="A231" t="s">
        <v>494</v>
      </c>
      <c r="B231" t="s">
        <v>408</v>
      </c>
      <c r="C231" t="s">
        <v>68</v>
      </c>
      <c r="D231">
        <v>1</v>
      </c>
      <c r="E231" t="s">
        <v>82</v>
      </c>
      <c r="F231" t="s">
        <v>92</v>
      </c>
    </row>
    <row r="232" spans="1:6" x14ac:dyDescent="0.3">
      <c r="A232" t="s">
        <v>495</v>
      </c>
      <c r="B232" t="s">
        <v>496</v>
      </c>
      <c r="C232" t="s">
        <v>28</v>
      </c>
      <c r="D232">
        <v>13</v>
      </c>
      <c r="E232" t="s">
        <v>77</v>
      </c>
      <c r="F232" t="s">
        <v>83</v>
      </c>
    </row>
    <row r="233" spans="1:6" x14ac:dyDescent="0.3">
      <c r="A233" t="s">
        <v>497</v>
      </c>
      <c r="B233" t="s">
        <v>98</v>
      </c>
      <c r="C233" t="s">
        <v>58</v>
      </c>
      <c r="D233">
        <v>2</v>
      </c>
      <c r="E233" t="s">
        <v>77</v>
      </c>
      <c r="F233" t="s">
        <v>78</v>
      </c>
    </row>
    <row r="234" spans="1:6" x14ac:dyDescent="0.3">
      <c r="A234" t="s">
        <v>498</v>
      </c>
      <c r="B234" t="s">
        <v>499</v>
      </c>
      <c r="C234" t="s">
        <v>500</v>
      </c>
      <c r="D234">
        <v>3</v>
      </c>
      <c r="E234" t="s">
        <v>86</v>
      </c>
      <c r="F234" t="s">
        <v>92</v>
      </c>
    </row>
    <row r="235" spans="1:6" x14ac:dyDescent="0.3">
      <c r="A235" t="s">
        <v>501</v>
      </c>
      <c r="B235" t="s">
        <v>502</v>
      </c>
      <c r="C235" t="s">
        <v>49</v>
      </c>
      <c r="D235">
        <v>11</v>
      </c>
      <c r="E235" t="s">
        <v>82</v>
      </c>
      <c r="F235" t="s">
        <v>92</v>
      </c>
    </row>
    <row r="236" spans="1:6" x14ac:dyDescent="0.3">
      <c r="A236" t="s">
        <v>503</v>
      </c>
      <c r="B236" t="s">
        <v>171</v>
      </c>
      <c r="C236" t="s">
        <v>20</v>
      </c>
      <c r="D236">
        <v>14</v>
      </c>
      <c r="E236" t="s">
        <v>91</v>
      </c>
      <c r="F236" t="s">
        <v>92</v>
      </c>
    </row>
    <row r="237" spans="1:6" x14ac:dyDescent="0.3">
      <c r="A237" t="s">
        <v>504</v>
      </c>
      <c r="B237" t="s">
        <v>505</v>
      </c>
      <c r="C237" t="s">
        <v>12</v>
      </c>
      <c r="D237">
        <v>13</v>
      </c>
      <c r="E237" t="s">
        <v>86</v>
      </c>
      <c r="F237" t="s">
        <v>83</v>
      </c>
    </row>
    <row r="238" spans="1:6" x14ac:dyDescent="0.3">
      <c r="A238" t="s">
        <v>506</v>
      </c>
      <c r="B238" t="s">
        <v>507</v>
      </c>
      <c r="C238" t="s">
        <v>49</v>
      </c>
      <c r="D238">
        <v>3</v>
      </c>
      <c r="E238" t="s">
        <v>82</v>
      </c>
      <c r="F238" t="s">
        <v>78</v>
      </c>
    </row>
    <row r="239" spans="1:6" x14ac:dyDescent="0.3">
      <c r="A239" t="s">
        <v>508</v>
      </c>
      <c r="B239" t="s">
        <v>196</v>
      </c>
      <c r="C239" t="s">
        <v>47</v>
      </c>
      <c r="D239">
        <v>2</v>
      </c>
      <c r="E239" t="s">
        <v>91</v>
      </c>
      <c r="F239" t="s">
        <v>78</v>
      </c>
    </row>
    <row r="240" spans="1:6" x14ac:dyDescent="0.3">
      <c r="A240" t="s">
        <v>509</v>
      </c>
      <c r="B240" t="s">
        <v>147</v>
      </c>
      <c r="C240" t="s">
        <v>37</v>
      </c>
      <c r="D240">
        <v>9</v>
      </c>
      <c r="E240" t="s">
        <v>86</v>
      </c>
      <c r="F240" t="s">
        <v>83</v>
      </c>
    </row>
    <row r="241" spans="1:6" x14ac:dyDescent="0.3">
      <c r="A241" t="s">
        <v>510</v>
      </c>
      <c r="B241" t="s">
        <v>238</v>
      </c>
      <c r="C241" t="s">
        <v>43</v>
      </c>
      <c r="D241">
        <v>5</v>
      </c>
      <c r="E241" t="s">
        <v>86</v>
      </c>
      <c r="F241" t="s">
        <v>92</v>
      </c>
    </row>
    <row r="242" spans="1:6" x14ac:dyDescent="0.3">
      <c r="A242" t="s">
        <v>511</v>
      </c>
      <c r="B242" t="s">
        <v>512</v>
      </c>
      <c r="C242" t="s">
        <v>43</v>
      </c>
      <c r="D242">
        <v>12</v>
      </c>
      <c r="E242" t="s">
        <v>77</v>
      </c>
      <c r="F242" t="s">
        <v>78</v>
      </c>
    </row>
    <row r="243" spans="1:6" x14ac:dyDescent="0.3">
      <c r="A243" t="s">
        <v>513</v>
      </c>
      <c r="B243" t="s">
        <v>262</v>
      </c>
      <c r="C243" t="s">
        <v>20</v>
      </c>
      <c r="D243">
        <v>10</v>
      </c>
      <c r="E243" t="s">
        <v>91</v>
      </c>
      <c r="F243" t="s">
        <v>92</v>
      </c>
    </row>
    <row r="244" spans="1:6" x14ac:dyDescent="0.3">
      <c r="A244" t="s">
        <v>514</v>
      </c>
      <c r="B244" t="s">
        <v>515</v>
      </c>
      <c r="C244" t="s">
        <v>47</v>
      </c>
      <c r="D244">
        <v>6</v>
      </c>
      <c r="E244" t="s">
        <v>77</v>
      </c>
      <c r="F244" t="s">
        <v>78</v>
      </c>
    </row>
    <row r="245" spans="1:6" x14ac:dyDescent="0.3">
      <c r="A245" t="s">
        <v>516</v>
      </c>
      <c r="B245" t="s">
        <v>517</v>
      </c>
      <c r="C245" t="s">
        <v>45</v>
      </c>
      <c r="D245">
        <v>2</v>
      </c>
      <c r="E245" t="s">
        <v>91</v>
      </c>
      <c r="F245" t="s">
        <v>78</v>
      </c>
    </row>
    <row r="246" spans="1:6" x14ac:dyDescent="0.3">
      <c r="A246" t="s">
        <v>518</v>
      </c>
      <c r="B246" t="s">
        <v>519</v>
      </c>
      <c r="C246" t="s">
        <v>33</v>
      </c>
      <c r="D246">
        <v>13</v>
      </c>
      <c r="E246" t="s">
        <v>82</v>
      </c>
      <c r="F246" t="s">
        <v>92</v>
      </c>
    </row>
    <row r="247" spans="1:6" x14ac:dyDescent="0.3">
      <c r="A247" t="s">
        <v>520</v>
      </c>
      <c r="B247" t="s">
        <v>177</v>
      </c>
      <c r="C247" t="s">
        <v>31</v>
      </c>
      <c r="D247">
        <v>6</v>
      </c>
      <c r="E247" t="s">
        <v>86</v>
      </c>
      <c r="F247" t="s">
        <v>83</v>
      </c>
    </row>
    <row r="248" spans="1:6" x14ac:dyDescent="0.3">
      <c r="A248" t="s">
        <v>521</v>
      </c>
      <c r="B248" t="s">
        <v>465</v>
      </c>
      <c r="C248" t="s">
        <v>66</v>
      </c>
      <c r="D248">
        <v>11</v>
      </c>
      <c r="E248" t="s">
        <v>86</v>
      </c>
      <c r="F248" t="s">
        <v>78</v>
      </c>
    </row>
    <row r="249" spans="1:6" x14ac:dyDescent="0.3">
      <c r="A249" t="s">
        <v>522</v>
      </c>
      <c r="B249" t="s">
        <v>458</v>
      </c>
      <c r="C249" t="s">
        <v>37</v>
      </c>
      <c r="D249">
        <v>10</v>
      </c>
      <c r="E249" t="s">
        <v>91</v>
      </c>
      <c r="F249" t="s">
        <v>78</v>
      </c>
    </row>
    <row r="250" spans="1:6" x14ac:dyDescent="0.3">
      <c r="A250" t="s">
        <v>523</v>
      </c>
      <c r="B250" t="s">
        <v>524</v>
      </c>
      <c r="C250" t="s">
        <v>60</v>
      </c>
      <c r="D250">
        <v>10</v>
      </c>
      <c r="E250" t="s">
        <v>82</v>
      </c>
      <c r="F250" t="s">
        <v>78</v>
      </c>
    </row>
    <row r="251" spans="1:6" x14ac:dyDescent="0.3">
      <c r="A251" t="s">
        <v>525</v>
      </c>
      <c r="B251" t="s">
        <v>526</v>
      </c>
      <c r="C251" t="s">
        <v>14</v>
      </c>
      <c r="D251">
        <v>5</v>
      </c>
      <c r="E251" t="s">
        <v>82</v>
      </c>
      <c r="F251" t="s">
        <v>92</v>
      </c>
    </row>
    <row r="252" spans="1:6" x14ac:dyDescent="0.3">
      <c r="A252" t="s">
        <v>527</v>
      </c>
      <c r="B252" t="s">
        <v>528</v>
      </c>
      <c r="C252" t="s">
        <v>14</v>
      </c>
      <c r="D252">
        <v>4</v>
      </c>
      <c r="E252" t="s">
        <v>77</v>
      </c>
      <c r="F252" t="s">
        <v>92</v>
      </c>
    </row>
    <row r="253" spans="1:6" x14ac:dyDescent="0.3">
      <c r="A253" t="s">
        <v>529</v>
      </c>
      <c r="B253" t="s">
        <v>100</v>
      </c>
      <c r="C253" t="s">
        <v>12</v>
      </c>
      <c r="D253">
        <v>1</v>
      </c>
      <c r="E253" t="s">
        <v>86</v>
      </c>
      <c r="F253" t="s">
        <v>78</v>
      </c>
    </row>
    <row r="254" spans="1:6" x14ac:dyDescent="0.3">
      <c r="A254" t="s">
        <v>530</v>
      </c>
      <c r="B254" t="s">
        <v>492</v>
      </c>
      <c r="C254" t="s">
        <v>31</v>
      </c>
      <c r="D254">
        <v>13</v>
      </c>
      <c r="E254" t="s">
        <v>86</v>
      </c>
      <c r="F254" t="s">
        <v>92</v>
      </c>
    </row>
    <row r="255" spans="1:6" x14ac:dyDescent="0.3">
      <c r="A255" t="s">
        <v>531</v>
      </c>
      <c r="B255" t="s">
        <v>452</v>
      </c>
      <c r="C255" t="s">
        <v>43</v>
      </c>
      <c r="D255">
        <v>4</v>
      </c>
      <c r="E255" t="s">
        <v>91</v>
      </c>
      <c r="F255" t="s">
        <v>83</v>
      </c>
    </row>
    <row r="256" spans="1:6" x14ac:dyDescent="0.3">
      <c r="A256" t="s">
        <v>532</v>
      </c>
      <c r="B256" t="s">
        <v>370</v>
      </c>
      <c r="C256" t="s">
        <v>39</v>
      </c>
      <c r="D256">
        <v>10</v>
      </c>
      <c r="E256" t="s">
        <v>82</v>
      </c>
      <c r="F256" t="s">
        <v>92</v>
      </c>
    </row>
    <row r="257" spans="1:6" x14ac:dyDescent="0.3">
      <c r="A257" t="s">
        <v>533</v>
      </c>
      <c r="B257" t="s">
        <v>534</v>
      </c>
      <c r="C257" t="s">
        <v>60</v>
      </c>
      <c r="D257">
        <v>4</v>
      </c>
      <c r="E257" t="s">
        <v>82</v>
      </c>
      <c r="F257" t="s">
        <v>83</v>
      </c>
    </row>
    <row r="258" spans="1:6" x14ac:dyDescent="0.3">
      <c r="A258" t="s">
        <v>535</v>
      </c>
      <c r="B258" t="s">
        <v>536</v>
      </c>
      <c r="C258" t="s">
        <v>41</v>
      </c>
      <c r="D258">
        <v>6</v>
      </c>
      <c r="E258" t="s">
        <v>91</v>
      </c>
      <c r="F258" t="s">
        <v>83</v>
      </c>
    </row>
    <row r="259" spans="1:6" x14ac:dyDescent="0.3">
      <c r="A259" t="s">
        <v>537</v>
      </c>
      <c r="B259" t="s">
        <v>538</v>
      </c>
      <c r="C259" t="s">
        <v>20</v>
      </c>
      <c r="D259">
        <v>7</v>
      </c>
      <c r="E259" t="s">
        <v>86</v>
      </c>
      <c r="F259" t="s">
        <v>83</v>
      </c>
    </row>
    <row r="260" spans="1:6" x14ac:dyDescent="0.3">
      <c r="A260" t="s">
        <v>539</v>
      </c>
      <c r="B260" t="s">
        <v>540</v>
      </c>
      <c r="C260" t="s">
        <v>26</v>
      </c>
      <c r="D260">
        <v>10</v>
      </c>
      <c r="E260" t="s">
        <v>82</v>
      </c>
      <c r="F260" t="s">
        <v>78</v>
      </c>
    </row>
    <row r="261" spans="1:6" x14ac:dyDescent="0.3">
      <c r="A261" t="s">
        <v>541</v>
      </c>
      <c r="B261" t="s">
        <v>542</v>
      </c>
      <c r="C261" t="s">
        <v>28</v>
      </c>
      <c r="D261">
        <v>4</v>
      </c>
      <c r="E261" t="s">
        <v>86</v>
      </c>
      <c r="F261" t="s">
        <v>83</v>
      </c>
    </row>
    <row r="262" spans="1:6" x14ac:dyDescent="0.3">
      <c r="A262" t="s">
        <v>543</v>
      </c>
      <c r="B262" t="s">
        <v>544</v>
      </c>
      <c r="C262" t="s">
        <v>35</v>
      </c>
      <c r="D262">
        <v>14</v>
      </c>
      <c r="E262" t="s">
        <v>82</v>
      </c>
      <c r="F262" t="s">
        <v>92</v>
      </c>
    </row>
    <row r="263" spans="1:6" x14ac:dyDescent="0.3">
      <c r="A263" t="s">
        <v>545</v>
      </c>
      <c r="B263" t="s">
        <v>311</v>
      </c>
      <c r="C263" t="s">
        <v>52</v>
      </c>
      <c r="D263">
        <v>10</v>
      </c>
      <c r="E263" t="s">
        <v>86</v>
      </c>
      <c r="F263" t="s">
        <v>78</v>
      </c>
    </row>
    <row r="264" spans="1:6" x14ac:dyDescent="0.3">
      <c r="A264" t="s">
        <v>546</v>
      </c>
      <c r="B264" t="s">
        <v>216</v>
      </c>
      <c r="C264" t="s">
        <v>60</v>
      </c>
      <c r="D264">
        <v>14</v>
      </c>
      <c r="E264" t="s">
        <v>77</v>
      </c>
      <c r="F264" t="s">
        <v>83</v>
      </c>
    </row>
    <row r="265" spans="1:6" x14ac:dyDescent="0.3">
      <c r="A265" t="s">
        <v>547</v>
      </c>
      <c r="B265" t="s">
        <v>248</v>
      </c>
      <c r="C265" t="s">
        <v>56</v>
      </c>
      <c r="D265">
        <v>10</v>
      </c>
      <c r="E265" t="s">
        <v>86</v>
      </c>
      <c r="F265" t="s">
        <v>78</v>
      </c>
    </row>
    <row r="266" spans="1:6" x14ac:dyDescent="0.3">
      <c r="A266" t="s">
        <v>548</v>
      </c>
      <c r="B266" t="s">
        <v>549</v>
      </c>
      <c r="C266" t="s">
        <v>43</v>
      </c>
      <c r="D266">
        <v>13</v>
      </c>
      <c r="E266" t="s">
        <v>82</v>
      </c>
      <c r="F266" t="s">
        <v>78</v>
      </c>
    </row>
    <row r="267" spans="1:6" x14ac:dyDescent="0.3">
      <c r="A267" t="s">
        <v>550</v>
      </c>
      <c r="B267" t="s">
        <v>551</v>
      </c>
      <c r="C267" t="s">
        <v>16</v>
      </c>
      <c r="D267">
        <v>12</v>
      </c>
      <c r="E267" t="s">
        <v>77</v>
      </c>
      <c r="F267" t="s">
        <v>78</v>
      </c>
    </row>
    <row r="268" spans="1:6" x14ac:dyDescent="0.3">
      <c r="A268" t="s">
        <v>552</v>
      </c>
      <c r="B268" t="s">
        <v>553</v>
      </c>
      <c r="C268" t="s">
        <v>14</v>
      </c>
      <c r="D268">
        <v>2</v>
      </c>
      <c r="E268" t="s">
        <v>86</v>
      </c>
      <c r="F268" t="s">
        <v>83</v>
      </c>
    </row>
    <row r="269" spans="1:6" x14ac:dyDescent="0.3">
      <c r="A269" t="s">
        <v>554</v>
      </c>
      <c r="B269" t="s">
        <v>555</v>
      </c>
      <c r="C269" t="s">
        <v>20</v>
      </c>
      <c r="D269">
        <v>7</v>
      </c>
      <c r="E269" t="s">
        <v>86</v>
      </c>
      <c r="F269" t="s">
        <v>92</v>
      </c>
    </row>
    <row r="270" spans="1:6" x14ac:dyDescent="0.3">
      <c r="A270" t="s">
        <v>556</v>
      </c>
      <c r="B270" t="s">
        <v>76</v>
      </c>
      <c r="C270" t="s">
        <v>45</v>
      </c>
      <c r="D270">
        <v>8</v>
      </c>
      <c r="E270" t="s">
        <v>77</v>
      </c>
      <c r="F270" t="s">
        <v>78</v>
      </c>
    </row>
    <row r="271" spans="1:6" x14ac:dyDescent="0.3">
      <c r="A271" t="s">
        <v>557</v>
      </c>
      <c r="B271" t="s">
        <v>311</v>
      </c>
      <c r="C271" t="s">
        <v>355</v>
      </c>
      <c r="D271">
        <v>4</v>
      </c>
      <c r="E271" t="s">
        <v>77</v>
      </c>
      <c r="F271" t="s">
        <v>78</v>
      </c>
    </row>
    <row r="272" spans="1:6" x14ac:dyDescent="0.3">
      <c r="A272" t="s">
        <v>558</v>
      </c>
      <c r="B272" t="s">
        <v>183</v>
      </c>
      <c r="C272" t="s">
        <v>20</v>
      </c>
      <c r="D272">
        <v>7</v>
      </c>
      <c r="E272" t="s">
        <v>91</v>
      </c>
      <c r="F272" t="s">
        <v>92</v>
      </c>
    </row>
    <row r="273" spans="1:6" x14ac:dyDescent="0.3">
      <c r="A273" t="s">
        <v>559</v>
      </c>
      <c r="B273" t="s">
        <v>232</v>
      </c>
      <c r="C273" t="s">
        <v>33</v>
      </c>
      <c r="D273">
        <v>14</v>
      </c>
      <c r="E273" t="s">
        <v>91</v>
      </c>
      <c r="F273" t="s">
        <v>78</v>
      </c>
    </row>
    <row r="274" spans="1:6" x14ac:dyDescent="0.3">
      <c r="A274" t="s">
        <v>560</v>
      </c>
      <c r="B274" t="s">
        <v>401</v>
      </c>
      <c r="C274" t="s">
        <v>64</v>
      </c>
      <c r="D274">
        <v>2</v>
      </c>
      <c r="E274" t="s">
        <v>77</v>
      </c>
      <c r="F274" t="s">
        <v>83</v>
      </c>
    </row>
    <row r="275" spans="1:6" x14ac:dyDescent="0.3">
      <c r="A275" t="s">
        <v>561</v>
      </c>
      <c r="B275" t="s">
        <v>562</v>
      </c>
      <c r="C275" t="s">
        <v>31</v>
      </c>
      <c r="D275">
        <v>10</v>
      </c>
      <c r="E275" t="s">
        <v>91</v>
      </c>
      <c r="F275" t="s">
        <v>92</v>
      </c>
    </row>
    <row r="276" spans="1:6" x14ac:dyDescent="0.3">
      <c r="A276" t="s">
        <v>563</v>
      </c>
      <c r="B276" t="s">
        <v>564</v>
      </c>
      <c r="C276" t="s">
        <v>64</v>
      </c>
      <c r="D276">
        <v>2</v>
      </c>
      <c r="E276" t="s">
        <v>86</v>
      </c>
      <c r="F276" t="s">
        <v>83</v>
      </c>
    </row>
    <row r="277" spans="1:6" x14ac:dyDescent="0.3">
      <c r="A277" t="s">
        <v>565</v>
      </c>
      <c r="B277" t="s">
        <v>562</v>
      </c>
      <c r="C277" t="s">
        <v>26</v>
      </c>
      <c r="D277">
        <v>11</v>
      </c>
      <c r="E277" t="s">
        <v>82</v>
      </c>
      <c r="F277" t="s">
        <v>83</v>
      </c>
    </row>
    <row r="278" spans="1:6" x14ac:dyDescent="0.3">
      <c r="A278" t="s">
        <v>566</v>
      </c>
      <c r="B278" t="s">
        <v>201</v>
      </c>
      <c r="C278" t="s">
        <v>26</v>
      </c>
      <c r="D278">
        <v>2</v>
      </c>
      <c r="E278" t="s">
        <v>77</v>
      </c>
      <c r="F278" t="s">
        <v>78</v>
      </c>
    </row>
    <row r="279" spans="1:6" x14ac:dyDescent="0.3">
      <c r="A279" t="s">
        <v>567</v>
      </c>
      <c r="B279" t="s">
        <v>568</v>
      </c>
      <c r="C279" t="s">
        <v>31</v>
      </c>
      <c r="D279">
        <v>9</v>
      </c>
      <c r="E279" t="s">
        <v>82</v>
      </c>
      <c r="F279" t="s">
        <v>83</v>
      </c>
    </row>
    <row r="280" spans="1:6" x14ac:dyDescent="0.3">
      <c r="A280" t="s">
        <v>569</v>
      </c>
      <c r="B280" t="s">
        <v>570</v>
      </c>
      <c r="C280" t="s">
        <v>37</v>
      </c>
      <c r="D280">
        <v>11</v>
      </c>
      <c r="E280" t="s">
        <v>77</v>
      </c>
      <c r="F280" t="s">
        <v>78</v>
      </c>
    </row>
    <row r="281" spans="1:6" x14ac:dyDescent="0.3">
      <c r="A281" t="s">
        <v>571</v>
      </c>
      <c r="B281" t="s">
        <v>572</v>
      </c>
      <c r="C281" t="s">
        <v>64</v>
      </c>
      <c r="D281">
        <v>1</v>
      </c>
      <c r="E281" t="s">
        <v>91</v>
      </c>
      <c r="F281" t="s">
        <v>92</v>
      </c>
    </row>
    <row r="282" spans="1:6" x14ac:dyDescent="0.3">
      <c r="A282" t="s">
        <v>573</v>
      </c>
      <c r="B282" t="s">
        <v>574</v>
      </c>
      <c r="C282" t="s">
        <v>64</v>
      </c>
      <c r="D282">
        <v>1</v>
      </c>
      <c r="E282" t="s">
        <v>86</v>
      </c>
      <c r="F282" t="s">
        <v>83</v>
      </c>
    </row>
    <row r="283" spans="1:6" x14ac:dyDescent="0.3">
      <c r="A283" t="s">
        <v>575</v>
      </c>
      <c r="B283" t="s">
        <v>446</v>
      </c>
      <c r="C283" t="s">
        <v>66</v>
      </c>
      <c r="D283">
        <v>3</v>
      </c>
      <c r="E283" t="s">
        <v>91</v>
      </c>
      <c r="F283" t="s">
        <v>92</v>
      </c>
    </row>
    <row r="284" spans="1:6" x14ac:dyDescent="0.3">
      <c r="A284" t="s">
        <v>576</v>
      </c>
      <c r="B284" t="s">
        <v>115</v>
      </c>
      <c r="C284" t="s">
        <v>45</v>
      </c>
      <c r="D284">
        <v>3</v>
      </c>
      <c r="E284" t="s">
        <v>82</v>
      </c>
      <c r="F284" t="s">
        <v>83</v>
      </c>
    </row>
    <row r="285" spans="1:6" x14ac:dyDescent="0.3">
      <c r="A285" t="s">
        <v>577</v>
      </c>
      <c r="B285" t="s">
        <v>578</v>
      </c>
      <c r="C285" t="s">
        <v>33</v>
      </c>
      <c r="D285">
        <v>7</v>
      </c>
      <c r="E285" t="s">
        <v>82</v>
      </c>
      <c r="F285" t="s">
        <v>92</v>
      </c>
    </row>
    <row r="286" spans="1:6" x14ac:dyDescent="0.3">
      <c r="A286" t="s">
        <v>579</v>
      </c>
      <c r="B286" t="s">
        <v>177</v>
      </c>
      <c r="C286" t="s">
        <v>45</v>
      </c>
      <c r="D286">
        <v>12</v>
      </c>
      <c r="E286" t="s">
        <v>86</v>
      </c>
      <c r="F286" t="s">
        <v>83</v>
      </c>
    </row>
    <row r="287" spans="1:6" x14ac:dyDescent="0.3">
      <c r="A287" t="s">
        <v>580</v>
      </c>
      <c r="B287" t="s">
        <v>320</v>
      </c>
      <c r="C287" t="s">
        <v>14</v>
      </c>
      <c r="D287">
        <v>2</v>
      </c>
      <c r="E287" t="s">
        <v>91</v>
      </c>
      <c r="F287" t="s">
        <v>83</v>
      </c>
    </row>
    <row r="288" spans="1:6" x14ac:dyDescent="0.3">
      <c r="A288" t="s">
        <v>581</v>
      </c>
      <c r="B288" t="s">
        <v>257</v>
      </c>
      <c r="C288" t="s">
        <v>49</v>
      </c>
      <c r="D288">
        <v>13</v>
      </c>
      <c r="E288" t="s">
        <v>91</v>
      </c>
      <c r="F288" t="s">
        <v>83</v>
      </c>
    </row>
    <row r="289" spans="1:6" x14ac:dyDescent="0.3">
      <c r="A289" t="s">
        <v>582</v>
      </c>
      <c r="B289" t="s">
        <v>481</v>
      </c>
      <c r="C289" t="s">
        <v>37</v>
      </c>
      <c r="D289">
        <v>13</v>
      </c>
      <c r="E289" t="s">
        <v>91</v>
      </c>
      <c r="F289" t="s">
        <v>78</v>
      </c>
    </row>
    <row r="290" spans="1:6" x14ac:dyDescent="0.3">
      <c r="A290" t="s">
        <v>583</v>
      </c>
      <c r="B290" t="s">
        <v>104</v>
      </c>
      <c r="C290" t="s">
        <v>20</v>
      </c>
      <c r="D290">
        <v>3</v>
      </c>
      <c r="E290" t="s">
        <v>91</v>
      </c>
      <c r="F290" t="s">
        <v>78</v>
      </c>
    </row>
    <row r="291" spans="1:6" x14ac:dyDescent="0.3">
      <c r="A291" t="s">
        <v>584</v>
      </c>
      <c r="B291" t="s">
        <v>585</v>
      </c>
      <c r="C291" t="s">
        <v>49</v>
      </c>
      <c r="D291">
        <v>5</v>
      </c>
      <c r="E291" t="s">
        <v>86</v>
      </c>
      <c r="F291" t="s">
        <v>83</v>
      </c>
    </row>
    <row r="292" spans="1:6" x14ac:dyDescent="0.3">
      <c r="A292" t="s">
        <v>586</v>
      </c>
      <c r="B292" t="s">
        <v>587</v>
      </c>
      <c r="C292" t="s">
        <v>588</v>
      </c>
      <c r="D292">
        <v>12</v>
      </c>
      <c r="E292" t="s">
        <v>77</v>
      </c>
      <c r="F292" t="s">
        <v>83</v>
      </c>
    </row>
    <row r="293" spans="1:6" x14ac:dyDescent="0.3">
      <c r="A293" t="s">
        <v>589</v>
      </c>
      <c r="B293" t="s">
        <v>471</v>
      </c>
      <c r="C293" t="s">
        <v>52</v>
      </c>
      <c r="D293">
        <v>9</v>
      </c>
      <c r="E293" t="s">
        <v>77</v>
      </c>
      <c r="F293" t="s">
        <v>92</v>
      </c>
    </row>
    <row r="294" spans="1:6" x14ac:dyDescent="0.3">
      <c r="A294" t="s">
        <v>590</v>
      </c>
      <c r="B294" t="s">
        <v>485</v>
      </c>
      <c r="C294" t="s">
        <v>41</v>
      </c>
      <c r="D294">
        <v>3</v>
      </c>
      <c r="E294" t="s">
        <v>77</v>
      </c>
      <c r="F294" t="s">
        <v>92</v>
      </c>
    </row>
    <row r="295" spans="1:6" x14ac:dyDescent="0.3">
      <c r="A295" t="s">
        <v>591</v>
      </c>
      <c r="B295" t="s">
        <v>526</v>
      </c>
      <c r="C295" t="s">
        <v>43</v>
      </c>
      <c r="D295">
        <v>11</v>
      </c>
      <c r="E295" t="s">
        <v>82</v>
      </c>
      <c r="F295" t="s">
        <v>83</v>
      </c>
    </row>
    <row r="296" spans="1:6" x14ac:dyDescent="0.3">
      <c r="A296" t="s">
        <v>592</v>
      </c>
      <c r="B296" t="s">
        <v>593</v>
      </c>
      <c r="C296" t="s">
        <v>33</v>
      </c>
      <c r="D296">
        <v>1</v>
      </c>
      <c r="E296" t="s">
        <v>86</v>
      </c>
      <c r="F296" t="s">
        <v>83</v>
      </c>
    </row>
    <row r="297" spans="1:6" x14ac:dyDescent="0.3">
      <c r="A297" t="s">
        <v>594</v>
      </c>
      <c r="B297" t="s">
        <v>595</v>
      </c>
      <c r="C297" t="s">
        <v>24</v>
      </c>
      <c r="D297">
        <v>4</v>
      </c>
      <c r="E297" t="s">
        <v>77</v>
      </c>
      <c r="F297" t="s">
        <v>92</v>
      </c>
    </row>
    <row r="298" spans="1:6" x14ac:dyDescent="0.3">
      <c r="A298" t="s">
        <v>596</v>
      </c>
      <c r="B298" t="s">
        <v>481</v>
      </c>
      <c r="C298" t="s">
        <v>60</v>
      </c>
      <c r="D298">
        <v>7</v>
      </c>
      <c r="E298" t="s">
        <v>86</v>
      </c>
      <c r="F298" t="s">
        <v>92</v>
      </c>
    </row>
    <row r="299" spans="1:6" x14ac:dyDescent="0.3">
      <c r="A299" t="s">
        <v>597</v>
      </c>
      <c r="B299" t="s">
        <v>272</v>
      </c>
      <c r="C299" t="s">
        <v>60</v>
      </c>
      <c r="D299">
        <v>9</v>
      </c>
      <c r="E299" t="s">
        <v>86</v>
      </c>
      <c r="F299" t="s">
        <v>83</v>
      </c>
    </row>
    <row r="300" spans="1:6" x14ac:dyDescent="0.3">
      <c r="A300" t="s">
        <v>598</v>
      </c>
      <c r="B300" t="s">
        <v>213</v>
      </c>
      <c r="C300" t="s">
        <v>47</v>
      </c>
      <c r="D300">
        <v>5</v>
      </c>
      <c r="E300" t="s">
        <v>86</v>
      </c>
      <c r="F300" t="s">
        <v>83</v>
      </c>
    </row>
    <row r="301" spans="1:6" x14ac:dyDescent="0.3">
      <c r="A301" t="s">
        <v>599</v>
      </c>
      <c r="B301" t="s">
        <v>458</v>
      </c>
      <c r="C301" t="s">
        <v>14</v>
      </c>
      <c r="D301">
        <v>4</v>
      </c>
      <c r="E301" t="s">
        <v>86</v>
      </c>
      <c r="F301" t="s">
        <v>92</v>
      </c>
    </row>
    <row r="302" spans="1:6" x14ac:dyDescent="0.3">
      <c r="A302" t="s">
        <v>600</v>
      </c>
      <c r="B302" t="s">
        <v>601</v>
      </c>
      <c r="C302" t="s">
        <v>49</v>
      </c>
      <c r="D302">
        <v>6</v>
      </c>
      <c r="E302" t="s">
        <v>86</v>
      </c>
      <c r="F302" t="s">
        <v>92</v>
      </c>
    </row>
    <row r="303" spans="1:6" x14ac:dyDescent="0.3">
      <c r="A303" t="s">
        <v>602</v>
      </c>
      <c r="B303" t="s">
        <v>448</v>
      </c>
      <c r="C303" t="s">
        <v>26</v>
      </c>
      <c r="D303">
        <v>8</v>
      </c>
      <c r="E303" t="s">
        <v>91</v>
      </c>
      <c r="F303" t="s">
        <v>92</v>
      </c>
    </row>
    <row r="304" spans="1:6" x14ac:dyDescent="0.3">
      <c r="A304" t="s">
        <v>603</v>
      </c>
      <c r="B304" t="s">
        <v>278</v>
      </c>
      <c r="C304" t="s">
        <v>307</v>
      </c>
      <c r="D304">
        <v>2</v>
      </c>
      <c r="E304" t="s">
        <v>86</v>
      </c>
      <c r="F304" t="s">
        <v>83</v>
      </c>
    </row>
    <row r="305" spans="1:6" x14ac:dyDescent="0.3">
      <c r="A305" t="s">
        <v>604</v>
      </c>
      <c r="B305" t="s">
        <v>605</v>
      </c>
      <c r="C305" t="s">
        <v>43</v>
      </c>
      <c r="D305">
        <v>10</v>
      </c>
      <c r="E305" t="s">
        <v>86</v>
      </c>
      <c r="F305" t="s">
        <v>92</v>
      </c>
    </row>
    <row r="306" spans="1:6" x14ac:dyDescent="0.3">
      <c r="A306" t="s">
        <v>606</v>
      </c>
      <c r="B306" t="s">
        <v>607</v>
      </c>
      <c r="C306" t="s">
        <v>60</v>
      </c>
      <c r="D306">
        <v>13</v>
      </c>
      <c r="E306" t="s">
        <v>86</v>
      </c>
      <c r="F306" t="s">
        <v>83</v>
      </c>
    </row>
    <row r="307" spans="1:6" x14ac:dyDescent="0.3">
      <c r="A307" t="s">
        <v>608</v>
      </c>
      <c r="B307" t="s">
        <v>282</v>
      </c>
      <c r="C307" t="s">
        <v>54</v>
      </c>
      <c r="D307">
        <v>14</v>
      </c>
      <c r="E307" t="s">
        <v>91</v>
      </c>
      <c r="F307" t="s">
        <v>92</v>
      </c>
    </row>
    <row r="308" spans="1:6" x14ac:dyDescent="0.3">
      <c r="A308" t="s">
        <v>609</v>
      </c>
      <c r="B308" t="s">
        <v>610</v>
      </c>
      <c r="C308" t="s">
        <v>68</v>
      </c>
      <c r="D308">
        <v>6</v>
      </c>
      <c r="E308" t="s">
        <v>91</v>
      </c>
      <c r="F308" t="s">
        <v>78</v>
      </c>
    </row>
    <row r="309" spans="1:6" x14ac:dyDescent="0.3">
      <c r="A309" t="s">
        <v>611</v>
      </c>
      <c r="B309" t="s">
        <v>181</v>
      </c>
      <c r="C309" t="s">
        <v>47</v>
      </c>
      <c r="D309">
        <v>14</v>
      </c>
      <c r="E309" t="s">
        <v>86</v>
      </c>
      <c r="F309" t="s">
        <v>92</v>
      </c>
    </row>
    <row r="310" spans="1:6" x14ac:dyDescent="0.3">
      <c r="A310" t="s">
        <v>612</v>
      </c>
      <c r="B310" t="s">
        <v>394</v>
      </c>
      <c r="C310" t="s">
        <v>26</v>
      </c>
      <c r="D310">
        <v>12</v>
      </c>
      <c r="E310" t="s">
        <v>77</v>
      </c>
      <c r="F310" t="s">
        <v>83</v>
      </c>
    </row>
    <row r="311" spans="1:6" x14ac:dyDescent="0.3">
      <c r="A311" t="s">
        <v>613</v>
      </c>
      <c r="B311" t="s">
        <v>243</v>
      </c>
      <c r="C311" t="s">
        <v>52</v>
      </c>
      <c r="D311">
        <v>1</v>
      </c>
      <c r="E311" t="s">
        <v>82</v>
      </c>
      <c r="F311" t="s">
        <v>78</v>
      </c>
    </row>
    <row r="312" spans="1:6" x14ac:dyDescent="0.3">
      <c r="A312" t="s">
        <v>614</v>
      </c>
      <c r="B312" t="s">
        <v>605</v>
      </c>
      <c r="C312" t="s">
        <v>37</v>
      </c>
      <c r="D312">
        <v>5</v>
      </c>
      <c r="E312" t="s">
        <v>86</v>
      </c>
      <c r="F312" t="s">
        <v>92</v>
      </c>
    </row>
    <row r="313" spans="1:6" x14ac:dyDescent="0.3">
      <c r="A313" t="s">
        <v>615</v>
      </c>
      <c r="B313" t="s">
        <v>616</v>
      </c>
      <c r="C313" t="s">
        <v>22</v>
      </c>
      <c r="D313">
        <v>9</v>
      </c>
      <c r="E313" t="s">
        <v>82</v>
      </c>
      <c r="F313" t="s">
        <v>83</v>
      </c>
    </row>
    <row r="314" spans="1:6" x14ac:dyDescent="0.3">
      <c r="A314" t="s">
        <v>617</v>
      </c>
      <c r="B314" t="s">
        <v>618</v>
      </c>
      <c r="C314" t="s">
        <v>28</v>
      </c>
      <c r="D314">
        <v>1</v>
      </c>
      <c r="E314" t="s">
        <v>82</v>
      </c>
      <c r="F314" t="s">
        <v>92</v>
      </c>
    </row>
    <row r="315" spans="1:6" x14ac:dyDescent="0.3">
      <c r="A315" t="s">
        <v>619</v>
      </c>
      <c r="B315" t="s">
        <v>147</v>
      </c>
      <c r="C315" t="s">
        <v>64</v>
      </c>
      <c r="D315">
        <v>8</v>
      </c>
      <c r="E315" t="s">
        <v>86</v>
      </c>
      <c r="F315" t="s">
        <v>83</v>
      </c>
    </row>
    <row r="316" spans="1:6" x14ac:dyDescent="0.3">
      <c r="A316" t="s">
        <v>620</v>
      </c>
      <c r="B316" t="s">
        <v>621</v>
      </c>
      <c r="C316" t="s">
        <v>41</v>
      </c>
      <c r="D316">
        <v>4</v>
      </c>
      <c r="E316" t="s">
        <v>86</v>
      </c>
      <c r="F316" t="s">
        <v>78</v>
      </c>
    </row>
    <row r="317" spans="1:6" x14ac:dyDescent="0.3">
      <c r="A317" t="s">
        <v>622</v>
      </c>
      <c r="B317" t="s">
        <v>623</v>
      </c>
      <c r="C317" t="s">
        <v>397</v>
      </c>
      <c r="D317">
        <v>8</v>
      </c>
      <c r="E317" t="s">
        <v>86</v>
      </c>
      <c r="F317" t="s">
        <v>92</v>
      </c>
    </row>
    <row r="318" spans="1:6" x14ac:dyDescent="0.3">
      <c r="A318" t="s">
        <v>624</v>
      </c>
      <c r="B318" t="s">
        <v>625</v>
      </c>
      <c r="C318" t="s">
        <v>35</v>
      </c>
      <c r="D318">
        <v>3</v>
      </c>
      <c r="E318" t="s">
        <v>86</v>
      </c>
      <c r="F318" t="s">
        <v>92</v>
      </c>
    </row>
    <row r="319" spans="1:6" x14ac:dyDescent="0.3">
      <c r="A319" t="s">
        <v>626</v>
      </c>
      <c r="B319" t="s">
        <v>627</v>
      </c>
      <c r="C319" t="s">
        <v>26</v>
      </c>
      <c r="D319">
        <v>5</v>
      </c>
      <c r="E319" t="s">
        <v>82</v>
      </c>
      <c r="F319" t="s">
        <v>78</v>
      </c>
    </row>
    <row r="320" spans="1:6" x14ac:dyDescent="0.3">
      <c r="A320" t="s">
        <v>628</v>
      </c>
      <c r="B320" t="s">
        <v>629</v>
      </c>
      <c r="C320" t="s">
        <v>47</v>
      </c>
      <c r="D320">
        <v>10</v>
      </c>
      <c r="E320" t="s">
        <v>91</v>
      </c>
      <c r="F320" t="s">
        <v>92</v>
      </c>
    </row>
    <row r="321" spans="1:6" x14ac:dyDescent="0.3">
      <c r="A321" t="s">
        <v>630</v>
      </c>
      <c r="B321" t="s">
        <v>631</v>
      </c>
      <c r="C321" t="s">
        <v>39</v>
      </c>
      <c r="D321">
        <v>3</v>
      </c>
      <c r="E321" t="s">
        <v>82</v>
      </c>
      <c r="F321" t="s">
        <v>92</v>
      </c>
    </row>
    <row r="322" spans="1:6" x14ac:dyDescent="0.3">
      <c r="A322" t="s">
        <v>632</v>
      </c>
      <c r="B322" t="s">
        <v>633</v>
      </c>
      <c r="C322" t="s">
        <v>18</v>
      </c>
      <c r="D322">
        <v>8</v>
      </c>
      <c r="E322" t="s">
        <v>91</v>
      </c>
      <c r="F322" t="s">
        <v>92</v>
      </c>
    </row>
    <row r="323" spans="1:6" x14ac:dyDescent="0.3">
      <c r="A323" t="s">
        <v>634</v>
      </c>
      <c r="B323" t="s">
        <v>376</v>
      </c>
      <c r="C323" t="s">
        <v>35</v>
      </c>
      <c r="D323">
        <v>5</v>
      </c>
      <c r="E323" t="s">
        <v>91</v>
      </c>
      <c r="F323" t="s">
        <v>83</v>
      </c>
    </row>
    <row r="324" spans="1:6" x14ac:dyDescent="0.3">
      <c r="A324" t="s">
        <v>635</v>
      </c>
      <c r="B324" t="s">
        <v>544</v>
      </c>
      <c r="C324" t="s">
        <v>16</v>
      </c>
      <c r="D324">
        <v>5</v>
      </c>
      <c r="E324" t="s">
        <v>91</v>
      </c>
      <c r="F324" t="s">
        <v>83</v>
      </c>
    </row>
    <row r="325" spans="1:6" x14ac:dyDescent="0.3">
      <c r="A325" t="s">
        <v>636</v>
      </c>
      <c r="B325" t="s">
        <v>304</v>
      </c>
      <c r="C325" t="s">
        <v>28</v>
      </c>
      <c r="D325">
        <v>8</v>
      </c>
      <c r="E325" t="s">
        <v>91</v>
      </c>
      <c r="F325" t="s">
        <v>78</v>
      </c>
    </row>
    <row r="326" spans="1:6" x14ac:dyDescent="0.3">
      <c r="A326" t="s">
        <v>637</v>
      </c>
      <c r="B326" t="s">
        <v>638</v>
      </c>
      <c r="C326" t="s">
        <v>35</v>
      </c>
      <c r="D326">
        <v>14</v>
      </c>
      <c r="E326" t="s">
        <v>86</v>
      </c>
      <c r="F326" t="s">
        <v>92</v>
      </c>
    </row>
    <row r="327" spans="1:6" x14ac:dyDescent="0.3">
      <c r="A327" t="s">
        <v>639</v>
      </c>
      <c r="B327" t="s">
        <v>104</v>
      </c>
      <c r="C327" t="s">
        <v>43</v>
      </c>
      <c r="D327">
        <v>7</v>
      </c>
      <c r="E327" t="s">
        <v>91</v>
      </c>
      <c r="F327" t="s">
        <v>78</v>
      </c>
    </row>
    <row r="328" spans="1:6" x14ac:dyDescent="0.3">
      <c r="A328" t="s">
        <v>640</v>
      </c>
      <c r="B328" t="s">
        <v>641</v>
      </c>
      <c r="C328" t="s">
        <v>33</v>
      </c>
      <c r="D328">
        <v>1</v>
      </c>
      <c r="E328" t="s">
        <v>77</v>
      </c>
      <c r="F328" t="s">
        <v>92</v>
      </c>
    </row>
    <row r="329" spans="1:6" x14ac:dyDescent="0.3">
      <c r="A329" t="s">
        <v>642</v>
      </c>
      <c r="B329" t="s">
        <v>564</v>
      </c>
      <c r="C329" t="s">
        <v>54</v>
      </c>
      <c r="D329">
        <v>11</v>
      </c>
      <c r="E329" t="s">
        <v>77</v>
      </c>
      <c r="F329" t="s">
        <v>78</v>
      </c>
    </row>
    <row r="330" spans="1:6" x14ac:dyDescent="0.3">
      <c r="A330" t="s">
        <v>643</v>
      </c>
      <c r="B330" t="s">
        <v>553</v>
      </c>
      <c r="C330" t="s">
        <v>68</v>
      </c>
      <c r="D330">
        <v>6</v>
      </c>
      <c r="E330" t="s">
        <v>86</v>
      </c>
      <c r="F330" t="s">
        <v>83</v>
      </c>
    </row>
    <row r="331" spans="1:6" x14ac:dyDescent="0.3">
      <c r="A331" t="s">
        <v>644</v>
      </c>
      <c r="B331" t="s">
        <v>155</v>
      </c>
      <c r="C331" t="s">
        <v>54</v>
      </c>
      <c r="D331">
        <v>7</v>
      </c>
      <c r="E331" t="s">
        <v>77</v>
      </c>
      <c r="F331" t="s">
        <v>92</v>
      </c>
    </row>
    <row r="332" spans="1:6" x14ac:dyDescent="0.3">
      <c r="A332" t="s">
        <v>645</v>
      </c>
      <c r="B332" t="s">
        <v>386</v>
      </c>
      <c r="C332" t="s">
        <v>10</v>
      </c>
      <c r="D332">
        <v>1</v>
      </c>
      <c r="E332" t="s">
        <v>86</v>
      </c>
      <c r="F332" t="s">
        <v>78</v>
      </c>
    </row>
    <row r="333" spans="1:6" x14ac:dyDescent="0.3">
      <c r="A333" t="s">
        <v>646</v>
      </c>
      <c r="B333" t="s">
        <v>647</v>
      </c>
      <c r="C333" t="s">
        <v>253</v>
      </c>
      <c r="D333">
        <v>13</v>
      </c>
      <c r="E333" t="s">
        <v>86</v>
      </c>
      <c r="F333" t="s">
        <v>78</v>
      </c>
    </row>
    <row r="334" spans="1:6" x14ac:dyDescent="0.3">
      <c r="A334" t="s">
        <v>648</v>
      </c>
      <c r="B334" t="s">
        <v>257</v>
      </c>
      <c r="C334" t="s">
        <v>43</v>
      </c>
      <c r="D334">
        <v>7</v>
      </c>
      <c r="E334" t="s">
        <v>91</v>
      </c>
      <c r="F334" t="s">
        <v>92</v>
      </c>
    </row>
    <row r="335" spans="1:6" x14ac:dyDescent="0.3">
      <c r="A335" t="s">
        <v>649</v>
      </c>
      <c r="B335" t="s">
        <v>650</v>
      </c>
      <c r="C335" t="s">
        <v>68</v>
      </c>
      <c r="D335">
        <v>1</v>
      </c>
      <c r="E335" t="s">
        <v>86</v>
      </c>
      <c r="F335" t="s">
        <v>92</v>
      </c>
    </row>
    <row r="336" spans="1:6" x14ac:dyDescent="0.3">
      <c r="A336" t="s">
        <v>651</v>
      </c>
      <c r="B336" t="s">
        <v>652</v>
      </c>
      <c r="C336" t="s">
        <v>24</v>
      </c>
      <c r="D336">
        <v>4</v>
      </c>
      <c r="E336" t="s">
        <v>91</v>
      </c>
      <c r="F336" t="s">
        <v>92</v>
      </c>
    </row>
    <row r="337" spans="1:6" x14ac:dyDescent="0.3">
      <c r="A337" t="s">
        <v>653</v>
      </c>
      <c r="B337" t="s">
        <v>338</v>
      </c>
      <c r="C337" t="s">
        <v>39</v>
      </c>
      <c r="D337">
        <v>9</v>
      </c>
      <c r="E337" t="s">
        <v>91</v>
      </c>
      <c r="F337" t="s">
        <v>78</v>
      </c>
    </row>
    <row r="338" spans="1:6" x14ac:dyDescent="0.3">
      <c r="A338" t="s">
        <v>654</v>
      </c>
      <c r="B338" t="s">
        <v>655</v>
      </c>
      <c r="C338" t="s">
        <v>41</v>
      </c>
      <c r="D338">
        <v>7</v>
      </c>
      <c r="E338" t="s">
        <v>91</v>
      </c>
      <c r="F338" t="s">
        <v>83</v>
      </c>
    </row>
    <row r="339" spans="1:6" x14ac:dyDescent="0.3">
      <c r="A339" t="s">
        <v>656</v>
      </c>
      <c r="B339" t="s">
        <v>469</v>
      </c>
      <c r="C339" t="s">
        <v>56</v>
      </c>
      <c r="D339">
        <v>3</v>
      </c>
      <c r="E339" t="s">
        <v>82</v>
      </c>
      <c r="F339" t="s">
        <v>83</v>
      </c>
    </row>
    <row r="340" spans="1:6" x14ac:dyDescent="0.3">
      <c r="A340" t="s">
        <v>657</v>
      </c>
      <c r="B340" t="s">
        <v>658</v>
      </c>
      <c r="C340" t="s">
        <v>66</v>
      </c>
      <c r="D340">
        <v>6</v>
      </c>
      <c r="E340" t="s">
        <v>91</v>
      </c>
      <c r="F340" t="s">
        <v>83</v>
      </c>
    </row>
    <row r="341" spans="1:6" x14ac:dyDescent="0.3">
      <c r="A341" t="s">
        <v>659</v>
      </c>
      <c r="B341" t="s">
        <v>660</v>
      </c>
      <c r="C341" t="s">
        <v>20</v>
      </c>
      <c r="D341">
        <v>3</v>
      </c>
      <c r="E341" t="s">
        <v>86</v>
      </c>
      <c r="F341" t="s">
        <v>83</v>
      </c>
    </row>
    <row r="342" spans="1:6" x14ac:dyDescent="0.3">
      <c r="A342" t="s">
        <v>661</v>
      </c>
      <c r="B342" t="s">
        <v>562</v>
      </c>
      <c r="C342" t="s">
        <v>60</v>
      </c>
      <c r="D342">
        <v>7</v>
      </c>
      <c r="E342" t="s">
        <v>77</v>
      </c>
      <c r="F342" t="s">
        <v>78</v>
      </c>
    </row>
    <row r="343" spans="1:6" x14ac:dyDescent="0.3">
      <c r="A343" t="s">
        <v>662</v>
      </c>
      <c r="B343" t="s">
        <v>663</v>
      </c>
      <c r="C343" t="s">
        <v>39</v>
      </c>
      <c r="D343">
        <v>1</v>
      </c>
      <c r="E343" t="s">
        <v>86</v>
      </c>
      <c r="F343" t="s">
        <v>92</v>
      </c>
    </row>
    <row r="344" spans="1:6" x14ac:dyDescent="0.3">
      <c r="A344" t="s">
        <v>664</v>
      </c>
      <c r="B344" t="s">
        <v>542</v>
      </c>
      <c r="C344" t="s">
        <v>47</v>
      </c>
      <c r="D344">
        <v>3</v>
      </c>
      <c r="E344" t="s">
        <v>86</v>
      </c>
      <c r="F344" t="s">
        <v>78</v>
      </c>
    </row>
    <row r="345" spans="1:6" x14ac:dyDescent="0.3">
      <c r="A345" t="s">
        <v>665</v>
      </c>
      <c r="B345" t="s">
        <v>666</v>
      </c>
      <c r="C345" t="s">
        <v>47</v>
      </c>
      <c r="D345">
        <v>13</v>
      </c>
      <c r="E345" t="s">
        <v>86</v>
      </c>
      <c r="F345" t="s">
        <v>83</v>
      </c>
    </row>
    <row r="346" spans="1:6" x14ac:dyDescent="0.3">
      <c r="A346" t="s">
        <v>667</v>
      </c>
      <c r="B346" t="s">
        <v>668</v>
      </c>
      <c r="C346" t="s">
        <v>31</v>
      </c>
      <c r="D346">
        <v>10</v>
      </c>
      <c r="E346" t="s">
        <v>86</v>
      </c>
      <c r="F346" t="s">
        <v>78</v>
      </c>
    </row>
    <row r="347" spans="1:6" x14ac:dyDescent="0.3">
      <c r="A347" t="s">
        <v>669</v>
      </c>
      <c r="B347" t="s">
        <v>572</v>
      </c>
      <c r="C347" t="s">
        <v>60</v>
      </c>
      <c r="D347">
        <v>12</v>
      </c>
      <c r="E347" t="s">
        <v>86</v>
      </c>
      <c r="F347" t="s">
        <v>78</v>
      </c>
    </row>
    <row r="348" spans="1:6" x14ac:dyDescent="0.3">
      <c r="A348" t="s">
        <v>670</v>
      </c>
      <c r="B348" t="s">
        <v>574</v>
      </c>
      <c r="C348" t="s">
        <v>64</v>
      </c>
      <c r="D348">
        <v>11</v>
      </c>
      <c r="E348" t="s">
        <v>82</v>
      </c>
      <c r="F348" t="s">
        <v>78</v>
      </c>
    </row>
    <row r="349" spans="1:6" x14ac:dyDescent="0.3">
      <c r="A349" t="s">
        <v>671</v>
      </c>
      <c r="B349" t="s">
        <v>189</v>
      </c>
      <c r="C349" t="s">
        <v>62</v>
      </c>
      <c r="D349">
        <v>12</v>
      </c>
      <c r="E349" t="s">
        <v>91</v>
      </c>
      <c r="F349" t="s">
        <v>78</v>
      </c>
    </row>
    <row r="350" spans="1:6" x14ac:dyDescent="0.3">
      <c r="A350" t="s">
        <v>672</v>
      </c>
      <c r="B350" t="s">
        <v>229</v>
      </c>
      <c r="C350" t="s">
        <v>56</v>
      </c>
      <c r="D350">
        <v>6</v>
      </c>
      <c r="E350" t="s">
        <v>91</v>
      </c>
      <c r="F350" t="s">
        <v>92</v>
      </c>
    </row>
    <row r="351" spans="1:6" x14ac:dyDescent="0.3">
      <c r="A351" t="s">
        <v>673</v>
      </c>
      <c r="B351" t="s">
        <v>674</v>
      </c>
      <c r="C351" t="s">
        <v>16</v>
      </c>
      <c r="D351">
        <v>12</v>
      </c>
      <c r="E351" t="s">
        <v>82</v>
      </c>
      <c r="F351" t="s">
        <v>92</v>
      </c>
    </row>
    <row r="352" spans="1:6" x14ac:dyDescent="0.3">
      <c r="A352" t="s">
        <v>675</v>
      </c>
      <c r="B352" t="s">
        <v>676</v>
      </c>
      <c r="C352" t="s">
        <v>31</v>
      </c>
      <c r="D352">
        <v>3</v>
      </c>
      <c r="E352" t="s">
        <v>82</v>
      </c>
      <c r="F352" t="s">
        <v>78</v>
      </c>
    </row>
    <row r="353" spans="1:6" x14ac:dyDescent="0.3">
      <c r="A353" t="s">
        <v>677</v>
      </c>
      <c r="B353" t="s">
        <v>678</v>
      </c>
      <c r="C353" t="s">
        <v>10</v>
      </c>
      <c r="D353">
        <v>14</v>
      </c>
      <c r="E353" t="s">
        <v>77</v>
      </c>
      <c r="F353" t="s">
        <v>92</v>
      </c>
    </row>
    <row r="354" spans="1:6" x14ac:dyDescent="0.3">
      <c r="A354" t="s">
        <v>679</v>
      </c>
      <c r="B354" t="s">
        <v>680</v>
      </c>
      <c r="C354" t="s">
        <v>16</v>
      </c>
      <c r="D354">
        <v>7</v>
      </c>
      <c r="E354" t="s">
        <v>91</v>
      </c>
      <c r="F354" t="s">
        <v>78</v>
      </c>
    </row>
    <row r="355" spans="1:6" x14ac:dyDescent="0.3">
      <c r="A355" t="s">
        <v>681</v>
      </c>
      <c r="B355" t="s">
        <v>682</v>
      </c>
      <c r="C355" t="s">
        <v>683</v>
      </c>
      <c r="D355">
        <v>13</v>
      </c>
      <c r="E355" t="s">
        <v>77</v>
      </c>
      <c r="F355" t="s">
        <v>92</v>
      </c>
    </row>
    <row r="356" spans="1:6" x14ac:dyDescent="0.3">
      <c r="A356" t="s">
        <v>684</v>
      </c>
      <c r="B356" t="s">
        <v>216</v>
      </c>
      <c r="C356" t="s">
        <v>116</v>
      </c>
      <c r="D356">
        <v>13</v>
      </c>
      <c r="E356" t="s">
        <v>91</v>
      </c>
      <c r="F356" t="s">
        <v>92</v>
      </c>
    </row>
    <row r="357" spans="1:6" x14ac:dyDescent="0.3">
      <c r="A357" t="s">
        <v>685</v>
      </c>
      <c r="B357" t="s">
        <v>686</v>
      </c>
      <c r="C357" t="s">
        <v>24</v>
      </c>
      <c r="D357">
        <v>9</v>
      </c>
      <c r="E357" t="s">
        <v>77</v>
      </c>
      <c r="F357" t="s">
        <v>78</v>
      </c>
    </row>
    <row r="358" spans="1:6" x14ac:dyDescent="0.3">
      <c r="A358" t="s">
        <v>687</v>
      </c>
      <c r="B358" t="s">
        <v>647</v>
      </c>
      <c r="C358" t="s">
        <v>52</v>
      </c>
      <c r="D358">
        <v>14</v>
      </c>
      <c r="E358" t="s">
        <v>91</v>
      </c>
      <c r="F358" t="s">
        <v>92</v>
      </c>
    </row>
    <row r="359" spans="1:6" x14ac:dyDescent="0.3">
      <c r="A359" t="s">
        <v>688</v>
      </c>
      <c r="B359" t="s">
        <v>610</v>
      </c>
      <c r="C359" t="s">
        <v>7</v>
      </c>
      <c r="D359">
        <v>11</v>
      </c>
      <c r="E359" t="s">
        <v>91</v>
      </c>
      <c r="F359" t="s">
        <v>83</v>
      </c>
    </row>
    <row r="360" spans="1:6" x14ac:dyDescent="0.3">
      <c r="A360" t="s">
        <v>689</v>
      </c>
      <c r="B360" t="s">
        <v>173</v>
      </c>
      <c r="C360" t="s">
        <v>68</v>
      </c>
      <c r="D360">
        <v>9</v>
      </c>
      <c r="E360" t="s">
        <v>91</v>
      </c>
      <c r="F360" t="s">
        <v>83</v>
      </c>
    </row>
    <row r="361" spans="1:6" x14ac:dyDescent="0.3">
      <c r="A361" t="s">
        <v>690</v>
      </c>
      <c r="B361" t="s">
        <v>326</v>
      </c>
      <c r="C361" t="s">
        <v>28</v>
      </c>
      <c r="D361">
        <v>2</v>
      </c>
      <c r="E361" t="s">
        <v>82</v>
      </c>
      <c r="F361" t="s">
        <v>92</v>
      </c>
    </row>
    <row r="362" spans="1:6" x14ac:dyDescent="0.3">
      <c r="A362" t="s">
        <v>691</v>
      </c>
      <c r="B362" t="s">
        <v>396</v>
      </c>
      <c r="C362" t="s">
        <v>31</v>
      </c>
      <c r="D362">
        <v>7</v>
      </c>
      <c r="E362" t="s">
        <v>91</v>
      </c>
      <c r="F362" t="s">
        <v>83</v>
      </c>
    </row>
    <row r="363" spans="1:6" x14ac:dyDescent="0.3">
      <c r="A363" t="s">
        <v>692</v>
      </c>
      <c r="B363" t="s">
        <v>693</v>
      </c>
      <c r="C363" t="s">
        <v>66</v>
      </c>
      <c r="D363">
        <v>2</v>
      </c>
      <c r="E363" t="s">
        <v>86</v>
      </c>
      <c r="F363" t="s">
        <v>78</v>
      </c>
    </row>
    <row r="364" spans="1:6" x14ac:dyDescent="0.3">
      <c r="A364" t="s">
        <v>694</v>
      </c>
      <c r="B364" t="s">
        <v>695</v>
      </c>
      <c r="C364" t="s">
        <v>24</v>
      </c>
      <c r="D364">
        <v>2</v>
      </c>
      <c r="E364" t="s">
        <v>77</v>
      </c>
      <c r="F364" t="s">
        <v>83</v>
      </c>
    </row>
    <row r="365" spans="1:6" x14ac:dyDescent="0.3">
      <c r="A365" t="s">
        <v>696</v>
      </c>
      <c r="B365" t="s">
        <v>697</v>
      </c>
      <c r="C365" t="s">
        <v>20</v>
      </c>
      <c r="D365">
        <v>12</v>
      </c>
      <c r="E365" t="s">
        <v>91</v>
      </c>
      <c r="F365" t="s">
        <v>92</v>
      </c>
    </row>
    <row r="366" spans="1:6" x14ac:dyDescent="0.3">
      <c r="A366" t="s">
        <v>698</v>
      </c>
      <c r="B366" t="s">
        <v>699</v>
      </c>
      <c r="C366" t="s">
        <v>62</v>
      </c>
      <c r="D366">
        <v>4</v>
      </c>
      <c r="E366" t="s">
        <v>82</v>
      </c>
      <c r="F366" t="s">
        <v>78</v>
      </c>
    </row>
    <row r="367" spans="1:6" x14ac:dyDescent="0.3">
      <c r="A367" t="s">
        <v>700</v>
      </c>
      <c r="B367" t="s">
        <v>701</v>
      </c>
      <c r="C367" t="s">
        <v>49</v>
      </c>
      <c r="D367">
        <v>5</v>
      </c>
      <c r="E367" t="s">
        <v>77</v>
      </c>
      <c r="F367" t="s">
        <v>78</v>
      </c>
    </row>
    <row r="368" spans="1:6" x14ac:dyDescent="0.3">
      <c r="A368" t="s">
        <v>702</v>
      </c>
      <c r="B368" t="s">
        <v>304</v>
      </c>
      <c r="C368" t="s">
        <v>41</v>
      </c>
      <c r="D368">
        <v>1</v>
      </c>
      <c r="E368" t="s">
        <v>86</v>
      </c>
      <c r="F368" t="s">
        <v>92</v>
      </c>
    </row>
    <row r="369" spans="1:6" x14ac:dyDescent="0.3">
      <c r="A369" t="s">
        <v>703</v>
      </c>
      <c r="B369" t="s">
        <v>364</v>
      </c>
      <c r="C369" t="s">
        <v>165</v>
      </c>
      <c r="D369">
        <v>8</v>
      </c>
      <c r="E369" t="s">
        <v>82</v>
      </c>
      <c r="F369" t="s">
        <v>78</v>
      </c>
    </row>
    <row r="370" spans="1:6" x14ac:dyDescent="0.3">
      <c r="A370" t="s">
        <v>704</v>
      </c>
      <c r="B370" t="s">
        <v>328</v>
      </c>
      <c r="C370" t="s">
        <v>683</v>
      </c>
      <c r="D370">
        <v>2</v>
      </c>
      <c r="E370" t="s">
        <v>86</v>
      </c>
      <c r="F370" t="s">
        <v>92</v>
      </c>
    </row>
    <row r="371" spans="1:6" x14ac:dyDescent="0.3">
      <c r="A371" t="s">
        <v>705</v>
      </c>
      <c r="B371" t="s">
        <v>234</v>
      </c>
      <c r="C371" t="s">
        <v>706</v>
      </c>
      <c r="D371">
        <v>13</v>
      </c>
      <c r="E371" t="s">
        <v>82</v>
      </c>
      <c r="F371" t="s">
        <v>78</v>
      </c>
    </row>
    <row r="372" spans="1:6" x14ac:dyDescent="0.3">
      <c r="A372" t="s">
        <v>707</v>
      </c>
      <c r="B372" t="s">
        <v>203</v>
      </c>
      <c r="C372" t="s">
        <v>49</v>
      </c>
      <c r="D372">
        <v>7</v>
      </c>
      <c r="E372" t="s">
        <v>82</v>
      </c>
      <c r="F372" t="s">
        <v>92</v>
      </c>
    </row>
    <row r="373" spans="1:6" x14ac:dyDescent="0.3">
      <c r="A373" t="s">
        <v>708</v>
      </c>
      <c r="B373" t="s">
        <v>227</v>
      </c>
      <c r="C373" t="s">
        <v>12</v>
      </c>
      <c r="D373">
        <v>13</v>
      </c>
      <c r="E373" t="s">
        <v>82</v>
      </c>
      <c r="F373" t="s">
        <v>92</v>
      </c>
    </row>
    <row r="374" spans="1:6" x14ac:dyDescent="0.3">
      <c r="A374" t="s">
        <v>709</v>
      </c>
      <c r="B374" t="s">
        <v>379</v>
      </c>
      <c r="C374" t="s">
        <v>43</v>
      </c>
      <c r="D374">
        <v>3</v>
      </c>
      <c r="E374" t="s">
        <v>86</v>
      </c>
      <c r="F374" t="s">
        <v>83</v>
      </c>
    </row>
    <row r="375" spans="1:6" x14ac:dyDescent="0.3">
      <c r="A375" t="s">
        <v>710</v>
      </c>
      <c r="B375" t="s">
        <v>682</v>
      </c>
      <c r="C375" t="s">
        <v>28</v>
      </c>
      <c r="D375">
        <v>7</v>
      </c>
      <c r="E375" t="s">
        <v>82</v>
      </c>
      <c r="F375" t="s">
        <v>83</v>
      </c>
    </row>
    <row r="376" spans="1:6" x14ac:dyDescent="0.3">
      <c r="A376" t="s">
        <v>711</v>
      </c>
      <c r="B376" t="s">
        <v>141</v>
      </c>
      <c r="C376" t="s">
        <v>49</v>
      </c>
      <c r="D376">
        <v>7</v>
      </c>
      <c r="E376" t="s">
        <v>82</v>
      </c>
      <c r="F376" t="s">
        <v>78</v>
      </c>
    </row>
    <row r="377" spans="1:6" x14ac:dyDescent="0.3">
      <c r="A377" t="s">
        <v>712</v>
      </c>
      <c r="B377" t="s">
        <v>713</v>
      </c>
      <c r="C377" t="s">
        <v>49</v>
      </c>
      <c r="D377">
        <v>11</v>
      </c>
      <c r="E377" t="s">
        <v>86</v>
      </c>
      <c r="F377" t="s">
        <v>78</v>
      </c>
    </row>
    <row r="378" spans="1:6" x14ac:dyDescent="0.3">
      <c r="A378" t="s">
        <v>714</v>
      </c>
      <c r="B378" t="s">
        <v>715</v>
      </c>
      <c r="C378" t="s">
        <v>39</v>
      </c>
      <c r="D378">
        <v>1</v>
      </c>
      <c r="E378" t="s">
        <v>86</v>
      </c>
      <c r="F378" t="s">
        <v>92</v>
      </c>
    </row>
    <row r="379" spans="1:6" x14ac:dyDescent="0.3">
      <c r="A379" t="s">
        <v>716</v>
      </c>
      <c r="B379" t="s">
        <v>717</v>
      </c>
      <c r="C379" t="s">
        <v>41</v>
      </c>
      <c r="D379">
        <v>12</v>
      </c>
      <c r="E379" t="s">
        <v>82</v>
      </c>
      <c r="F379" t="s">
        <v>78</v>
      </c>
    </row>
    <row r="380" spans="1:6" x14ac:dyDescent="0.3">
      <c r="A380" t="s">
        <v>718</v>
      </c>
      <c r="B380" t="s">
        <v>481</v>
      </c>
      <c r="C380" t="s">
        <v>54</v>
      </c>
      <c r="D380">
        <v>12</v>
      </c>
      <c r="E380" t="s">
        <v>82</v>
      </c>
      <c r="F380" t="s">
        <v>78</v>
      </c>
    </row>
    <row r="381" spans="1:6" x14ac:dyDescent="0.3">
      <c r="A381" t="s">
        <v>719</v>
      </c>
      <c r="B381" t="s">
        <v>720</v>
      </c>
      <c r="C381" t="s">
        <v>28</v>
      </c>
      <c r="D381">
        <v>7</v>
      </c>
      <c r="E381" t="s">
        <v>77</v>
      </c>
      <c r="F381" t="s">
        <v>78</v>
      </c>
    </row>
    <row r="382" spans="1:6" x14ac:dyDescent="0.3">
      <c r="A382" t="s">
        <v>721</v>
      </c>
      <c r="B382" t="s">
        <v>544</v>
      </c>
      <c r="C382" t="s">
        <v>66</v>
      </c>
      <c r="D382">
        <v>14</v>
      </c>
      <c r="E382" t="s">
        <v>82</v>
      </c>
      <c r="F382" t="s">
        <v>92</v>
      </c>
    </row>
    <row r="383" spans="1:6" x14ac:dyDescent="0.3">
      <c r="A383" t="s">
        <v>722</v>
      </c>
      <c r="B383" t="s">
        <v>723</v>
      </c>
      <c r="C383" t="s">
        <v>724</v>
      </c>
      <c r="D383">
        <v>5</v>
      </c>
      <c r="E383" t="s">
        <v>91</v>
      </c>
      <c r="F383" t="s">
        <v>92</v>
      </c>
    </row>
    <row r="384" spans="1:6" x14ac:dyDescent="0.3">
      <c r="A384" t="s">
        <v>725</v>
      </c>
      <c r="B384" t="s">
        <v>225</v>
      </c>
      <c r="C384" t="s">
        <v>49</v>
      </c>
      <c r="D384">
        <v>3</v>
      </c>
      <c r="E384" t="s">
        <v>91</v>
      </c>
      <c r="F384" t="s">
        <v>92</v>
      </c>
    </row>
    <row r="385" spans="1:6" x14ac:dyDescent="0.3">
      <c r="A385" t="s">
        <v>726</v>
      </c>
      <c r="B385" t="s">
        <v>143</v>
      </c>
      <c r="C385" t="s">
        <v>47</v>
      </c>
      <c r="D385">
        <v>14</v>
      </c>
      <c r="E385" t="s">
        <v>86</v>
      </c>
      <c r="F385" t="s">
        <v>78</v>
      </c>
    </row>
    <row r="386" spans="1:6" x14ac:dyDescent="0.3">
      <c r="A386" t="s">
        <v>727</v>
      </c>
      <c r="B386" t="s">
        <v>564</v>
      </c>
      <c r="C386" t="s">
        <v>60</v>
      </c>
      <c r="D386">
        <v>12</v>
      </c>
      <c r="E386" t="s">
        <v>77</v>
      </c>
      <c r="F386" t="s">
        <v>92</v>
      </c>
    </row>
    <row r="387" spans="1:6" x14ac:dyDescent="0.3">
      <c r="A387" t="s">
        <v>728</v>
      </c>
      <c r="B387" t="s">
        <v>94</v>
      </c>
      <c r="C387" t="s">
        <v>49</v>
      </c>
      <c r="D387">
        <v>13</v>
      </c>
      <c r="E387" t="s">
        <v>77</v>
      </c>
      <c r="F387" t="s">
        <v>83</v>
      </c>
    </row>
    <row r="388" spans="1:6" x14ac:dyDescent="0.3">
      <c r="A388" t="s">
        <v>729</v>
      </c>
      <c r="B388" t="s">
        <v>181</v>
      </c>
      <c r="C388" t="s">
        <v>66</v>
      </c>
      <c r="D388">
        <v>8</v>
      </c>
      <c r="E388" t="s">
        <v>91</v>
      </c>
      <c r="F388" t="s">
        <v>78</v>
      </c>
    </row>
    <row r="389" spans="1:6" x14ac:dyDescent="0.3">
      <c r="A389" t="s">
        <v>730</v>
      </c>
      <c r="B389" t="s">
        <v>391</v>
      </c>
      <c r="C389" t="s">
        <v>22</v>
      </c>
      <c r="D389">
        <v>5</v>
      </c>
      <c r="E389" t="s">
        <v>77</v>
      </c>
      <c r="F389" t="s">
        <v>78</v>
      </c>
    </row>
    <row r="390" spans="1:6" x14ac:dyDescent="0.3">
      <c r="A390" t="s">
        <v>731</v>
      </c>
      <c r="B390" t="s">
        <v>132</v>
      </c>
      <c r="C390" t="s">
        <v>56</v>
      </c>
      <c r="D390">
        <v>1</v>
      </c>
      <c r="E390" t="s">
        <v>82</v>
      </c>
      <c r="F390" t="s">
        <v>83</v>
      </c>
    </row>
    <row r="391" spans="1:6" x14ac:dyDescent="0.3">
      <c r="A391" t="s">
        <v>732</v>
      </c>
      <c r="B391" t="s">
        <v>181</v>
      </c>
      <c r="C391" t="s">
        <v>20</v>
      </c>
      <c r="D391">
        <v>3</v>
      </c>
      <c r="E391" t="s">
        <v>82</v>
      </c>
      <c r="F391" t="s">
        <v>78</v>
      </c>
    </row>
    <row r="392" spans="1:6" x14ac:dyDescent="0.3">
      <c r="A392" t="s">
        <v>733</v>
      </c>
      <c r="B392" t="s">
        <v>502</v>
      </c>
      <c r="C392" t="s">
        <v>165</v>
      </c>
      <c r="D392">
        <v>13</v>
      </c>
      <c r="E392" t="s">
        <v>82</v>
      </c>
      <c r="F392" t="s">
        <v>78</v>
      </c>
    </row>
    <row r="393" spans="1:6" x14ac:dyDescent="0.3">
      <c r="A393" t="s">
        <v>734</v>
      </c>
      <c r="B393" t="s">
        <v>735</v>
      </c>
      <c r="C393" t="s">
        <v>45</v>
      </c>
      <c r="D393">
        <v>3</v>
      </c>
      <c r="E393" t="s">
        <v>86</v>
      </c>
      <c r="F393" t="s">
        <v>78</v>
      </c>
    </row>
    <row r="394" spans="1:6" x14ac:dyDescent="0.3">
      <c r="A394" t="s">
        <v>736</v>
      </c>
      <c r="B394" t="s">
        <v>347</v>
      </c>
      <c r="C394" t="s">
        <v>737</v>
      </c>
      <c r="D394">
        <v>5</v>
      </c>
      <c r="E394" t="s">
        <v>82</v>
      </c>
      <c r="F394" t="s">
        <v>78</v>
      </c>
    </row>
    <row r="395" spans="1:6" x14ac:dyDescent="0.3">
      <c r="A395" t="s">
        <v>738</v>
      </c>
      <c r="B395" t="s">
        <v>739</v>
      </c>
      <c r="C395" t="s">
        <v>12</v>
      </c>
      <c r="D395">
        <v>6</v>
      </c>
      <c r="E395" t="s">
        <v>86</v>
      </c>
      <c r="F395" t="s">
        <v>78</v>
      </c>
    </row>
    <row r="396" spans="1:6" x14ac:dyDescent="0.3">
      <c r="A396" t="s">
        <v>740</v>
      </c>
      <c r="B396" t="s">
        <v>741</v>
      </c>
      <c r="C396" t="s">
        <v>54</v>
      </c>
      <c r="D396">
        <v>7</v>
      </c>
      <c r="E396" t="s">
        <v>77</v>
      </c>
      <c r="F396" t="s">
        <v>92</v>
      </c>
    </row>
    <row r="397" spans="1:6" x14ac:dyDescent="0.3">
      <c r="A397" t="s">
        <v>742</v>
      </c>
      <c r="B397" t="s">
        <v>145</v>
      </c>
      <c r="C397" t="s">
        <v>31</v>
      </c>
      <c r="D397">
        <v>5</v>
      </c>
      <c r="E397" t="s">
        <v>77</v>
      </c>
      <c r="F397" t="s">
        <v>83</v>
      </c>
    </row>
    <row r="398" spans="1:6" x14ac:dyDescent="0.3">
      <c r="A398" t="s">
        <v>743</v>
      </c>
      <c r="B398" t="s">
        <v>328</v>
      </c>
      <c r="C398" t="s">
        <v>397</v>
      </c>
      <c r="D398">
        <v>11</v>
      </c>
      <c r="E398" t="s">
        <v>86</v>
      </c>
      <c r="F398" t="s">
        <v>92</v>
      </c>
    </row>
    <row r="399" spans="1:6" x14ac:dyDescent="0.3">
      <c r="A399" t="s">
        <v>744</v>
      </c>
      <c r="B399" t="s">
        <v>502</v>
      </c>
      <c r="C399" t="s">
        <v>41</v>
      </c>
      <c r="D399">
        <v>7</v>
      </c>
      <c r="E399" t="s">
        <v>77</v>
      </c>
      <c r="F399" t="s">
        <v>83</v>
      </c>
    </row>
    <row r="400" spans="1:6" x14ac:dyDescent="0.3">
      <c r="A400" t="s">
        <v>745</v>
      </c>
      <c r="B400" t="s">
        <v>269</v>
      </c>
      <c r="C400" t="s">
        <v>33</v>
      </c>
      <c r="D400">
        <v>7</v>
      </c>
      <c r="E400" t="s">
        <v>86</v>
      </c>
      <c r="F400" t="s">
        <v>92</v>
      </c>
    </row>
    <row r="401" spans="1:6" x14ac:dyDescent="0.3">
      <c r="A401" t="s">
        <v>746</v>
      </c>
      <c r="B401" t="s">
        <v>211</v>
      </c>
      <c r="C401" t="s">
        <v>7</v>
      </c>
      <c r="D401">
        <v>6</v>
      </c>
      <c r="E401" t="s">
        <v>91</v>
      </c>
      <c r="F401" t="s">
        <v>78</v>
      </c>
    </row>
    <row r="402" spans="1:6" x14ac:dyDescent="0.3">
      <c r="A402" t="s">
        <v>747</v>
      </c>
      <c r="B402" t="s">
        <v>748</v>
      </c>
      <c r="C402" t="s">
        <v>47</v>
      </c>
      <c r="D402">
        <v>14</v>
      </c>
      <c r="E402" t="s">
        <v>86</v>
      </c>
      <c r="F402" t="s">
        <v>83</v>
      </c>
    </row>
    <row r="403" spans="1:6" x14ac:dyDescent="0.3">
      <c r="A403" t="s">
        <v>749</v>
      </c>
      <c r="B403" t="s">
        <v>750</v>
      </c>
      <c r="C403" t="s">
        <v>68</v>
      </c>
      <c r="D403">
        <v>3</v>
      </c>
      <c r="E403" t="s">
        <v>82</v>
      </c>
      <c r="F403" t="s">
        <v>83</v>
      </c>
    </row>
    <row r="404" spans="1:6" x14ac:dyDescent="0.3">
      <c r="A404" t="s">
        <v>751</v>
      </c>
      <c r="B404" t="s">
        <v>189</v>
      </c>
      <c r="C404" t="s">
        <v>24</v>
      </c>
      <c r="D404">
        <v>4</v>
      </c>
      <c r="E404" t="s">
        <v>77</v>
      </c>
      <c r="F404" t="s">
        <v>78</v>
      </c>
    </row>
    <row r="405" spans="1:6" x14ac:dyDescent="0.3">
      <c r="A405" t="s">
        <v>752</v>
      </c>
      <c r="B405" t="s">
        <v>753</v>
      </c>
      <c r="C405" t="s">
        <v>49</v>
      </c>
      <c r="D405">
        <v>2</v>
      </c>
      <c r="E405" t="s">
        <v>82</v>
      </c>
      <c r="F405" t="s">
        <v>83</v>
      </c>
    </row>
    <row r="406" spans="1:6" x14ac:dyDescent="0.3">
      <c r="A406" t="s">
        <v>754</v>
      </c>
      <c r="B406" t="s">
        <v>755</v>
      </c>
      <c r="C406" t="s">
        <v>756</v>
      </c>
      <c r="D406">
        <v>12</v>
      </c>
      <c r="E406" t="s">
        <v>91</v>
      </c>
      <c r="F406" t="s">
        <v>83</v>
      </c>
    </row>
    <row r="407" spans="1:6" x14ac:dyDescent="0.3">
      <c r="A407" t="s">
        <v>757</v>
      </c>
      <c r="B407" t="s">
        <v>625</v>
      </c>
      <c r="C407" t="s">
        <v>12</v>
      </c>
      <c r="D407">
        <v>12</v>
      </c>
      <c r="E407" t="s">
        <v>82</v>
      </c>
      <c r="F407" t="s">
        <v>78</v>
      </c>
    </row>
    <row r="408" spans="1:6" x14ac:dyDescent="0.3">
      <c r="A408" t="s">
        <v>758</v>
      </c>
      <c r="B408" t="s">
        <v>517</v>
      </c>
      <c r="C408" t="s">
        <v>7</v>
      </c>
      <c r="D408">
        <v>4</v>
      </c>
      <c r="E408" t="s">
        <v>86</v>
      </c>
      <c r="F408" t="s">
        <v>78</v>
      </c>
    </row>
    <row r="409" spans="1:6" x14ac:dyDescent="0.3">
      <c r="A409" t="s">
        <v>759</v>
      </c>
      <c r="B409" t="s">
        <v>760</v>
      </c>
      <c r="C409" t="s">
        <v>33</v>
      </c>
      <c r="D409">
        <v>2</v>
      </c>
      <c r="E409" t="s">
        <v>82</v>
      </c>
      <c r="F409" t="s">
        <v>83</v>
      </c>
    </row>
    <row r="410" spans="1:6" x14ac:dyDescent="0.3">
      <c r="A410" t="s">
        <v>761</v>
      </c>
      <c r="B410" t="s">
        <v>76</v>
      </c>
      <c r="C410" t="s">
        <v>26</v>
      </c>
      <c r="D410">
        <v>4</v>
      </c>
      <c r="E410" t="s">
        <v>91</v>
      </c>
      <c r="F410" t="s">
        <v>83</v>
      </c>
    </row>
    <row r="411" spans="1:6" x14ac:dyDescent="0.3">
      <c r="A411" t="s">
        <v>762</v>
      </c>
      <c r="B411" t="s">
        <v>763</v>
      </c>
      <c r="C411" t="s">
        <v>39</v>
      </c>
      <c r="D411">
        <v>13</v>
      </c>
      <c r="E411" t="s">
        <v>86</v>
      </c>
      <c r="F411" t="s">
        <v>92</v>
      </c>
    </row>
    <row r="412" spans="1:6" x14ac:dyDescent="0.3">
      <c r="A412" t="s">
        <v>764</v>
      </c>
      <c r="B412" t="s">
        <v>388</v>
      </c>
      <c r="C412" t="s">
        <v>35</v>
      </c>
      <c r="D412">
        <v>1</v>
      </c>
      <c r="E412" t="s">
        <v>91</v>
      </c>
      <c r="F412" t="s">
        <v>92</v>
      </c>
    </row>
    <row r="413" spans="1:6" x14ac:dyDescent="0.3">
      <c r="A413" t="s">
        <v>765</v>
      </c>
      <c r="B413" t="s">
        <v>98</v>
      </c>
      <c r="C413" t="s">
        <v>12</v>
      </c>
      <c r="D413">
        <v>14</v>
      </c>
      <c r="E413" t="s">
        <v>91</v>
      </c>
      <c r="F413" t="s">
        <v>78</v>
      </c>
    </row>
    <row r="414" spans="1:6" x14ac:dyDescent="0.3">
      <c r="A414" t="s">
        <v>766</v>
      </c>
      <c r="B414" t="s">
        <v>177</v>
      </c>
      <c r="C414" t="s">
        <v>60</v>
      </c>
      <c r="D414">
        <v>4</v>
      </c>
      <c r="E414" t="s">
        <v>82</v>
      </c>
      <c r="F414" t="s">
        <v>92</v>
      </c>
    </row>
    <row r="415" spans="1:6" x14ac:dyDescent="0.3">
      <c r="A415" t="s">
        <v>767</v>
      </c>
      <c r="B415" t="s">
        <v>364</v>
      </c>
      <c r="C415" t="s">
        <v>20</v>
      </c>
      <c r="D415">
        <v>5</v>
      </c>
      <c r="E415" t="s">
        <v>91</v>
      </c>
      <c r="F415" t="s">
        <v>92</v>
      </c>
    </row>
    <row r="416" spans="1:6" x14ac:dyDescent="0.3">
      <c r="A416" t="s">
        <v>768</v>
      </c>
      <c r="B416" t="s">
        <v>104</v>
      </c>
      <c r="C416" t="s">
        <v>28</v>
      </c>
      <c r="D416">
        <v>2</v>
      </c>
      <c r="E416" t="s">
        <v>91</v>
      </c>
      <c r="F416" t="s">
        <v>78</v>
      </c>
    </row>
    <row r="417" spans="1:6" x14ac:dyDescent="0.3">
      <c r="A417" t="s">
        <v>769</v>
      </c>
      <c r="B417" t="s">
        <v>593</v>
      </c>
      <c r="C417" t="s">
        <v>463</v>
      </c>
      <c r="D417">
        <v>2</v>
      </c>
      <c r="E417" t="s">
        <v>77</v>
      </c>
      <c r="F417" t="s">
        <v>78</v>
      </c>
    </row>
    <row r="418" spans="1:6" x14ac:dyDescent="0.3">
      <c r="A418" t="s">
        <v>770</v>
      </c>
      <c r="B418" t="s">
        <v>115</v>
      </c>
      <c r="C418" t="s">
        <v>22</v>
      </c>
      <c r="D418">
        <v>7</v>
      </c>
      <c r="E418" t="s">
        <v>77</v>
      </c>
      <c r="F418" t="s">
        <v>83</v>
      </c>
    </row>
    <row r="419" spans="1:6" x14ac:dyDescent="0.3">
      <c r="A419" t="s">
        <v>771</v>
      </c>
      <c r="B419" t="s">
        <v>772</v>
      </c>
      <c r="C419" t="s">
        <v>7</v>
      </c>
      <c r="D419">
        <v>8</v>
      </c>
      <c r="E419" t="s">
        <v>77</v>
      </c>
      <c r="F419" t="s">
        <v>78</v>
      </c>
    </row>
    <row r="420" spans="1:6" x14ac:dyDescent="0.3">
      <c r="A420" t="s">
        <v>773</v>
      </c>
      <c r="B420" t="s">
        <v>774</v>
      </c>
      <c r="C420" t="s">
        <v>39</v>
      </c>
      <c r="D420">
        <v>3</v>
      </c>
      <c r="E420" t="s">
        <v>82</v>
      </c>
      <c r="F420" t="s">
        <v>92</v>
      </c>
    </row>
    <row r="421" spans="1:6" x14ac:dyDescent="0.3">
      <c r="A421" t="s">
        <v>775</v>
      </c>
      <c r="B421" t="s">
        <v>650</v>
      </c>
      <c r="C421" t="s">
        <v>26</v>
      </c>
      <c r="D421">
        <v>4</v>
      </c>
      <c r="E421" t="s">
        <v>86</v>
      </c>
      <c r="F421" t="s">
        <v>78</v>
      </c>
    </row>
    <row r="422" spans="1:6" x14ac:dyDescent="0.3">
      <c r="A422" t="s">
        <v>776</v>
      </c>
      <c r="B422" t="s">
        <v>90</v>
      </c>
      <c r="C422" t="s">
        <v>16</v>
      </c>
      <c r="D422">
        <v>10</v>
      </c>
      <c r="E422" t="s">
        <v>77</v>
      </c>
      <c r="F422" t="s">
        <v>92</v>
      </c>
    </row>
    <row r="423" spans="1:6" x14ac:dyDescent="0.3">
      <c r="A423" t="s">
        <v>777</v>
      </c>
      <c r="B423" t="s">
        <v>735</v>
      </c>
      <c r="C423" t="s">
        <v>16</v>
      </c>
      <c r="D423">
        <v>2</v>
      </c>
      <c r="E423" t="s">
        <v>91</v>
      </c>
      <c r="F423" t="s">
        <v>78</v>
      </c>
    </row>
    <row r="424" spans="1:6" x14ac:dyDescent="0.3">
      <c r="A424" t="s">
        <v>778</v>
      </c>
      <c r="B424" t="s">
        <v>446</v>
      </c>
      <c r="C424" t="s">
        <v>12</v>
      </c>
      <c r="D424">
        <v>12</v>
      </c>
      <c r="E424" t="s">
        <v>86</v>
      </c>
      <c r="F424" t="s">
        <v>78</v>
      </c>
    </row>
    <row r="425" spans="1:6" x14ac:dyDescent="0.3">
      <c r="A425" t="s">
        <v>779</v>
      </c>
      <c r="B425" t="s">
        <v>741</v>
      </c>
      <c r="C425" t="s">
        <v>16</v>
      </c>
      <c r="D425">
        <v>6</v>
      </c>
      <c r="E425" t="s">
        <v>91</v>
      </c>
      <c r="F425" t="s">
        <v>83</v>
      </c>
    </row>
    <row r="426" spans="1:6" x14ac:dyDescent="0.3">
      <c r="A426" t="s">
        <v>780</v>
      </c>
      <c r="B426" t="s">
        <v>781</v>
      </c>
      <c r="C426" t="s">
        <v>41</v>
      </c>
      <c r="D426">
        <v>2</v>
      </c>
      <c r="E426" t="s">
        <v>91</v>
      </c>
      <c r="F426" t="s">
        <v>92</v>
      </c>
    </row>
    <row r="427" spans="1:6" x14ac:dyDescent="0.3">
      <c r="A427" t="s">
        <v>782</v>
      </c>
      <c r="B427" t="s">
        <v>783</v>
      </c>
      <c r="C427" t="s">
        <v>10</v>
      </c>
      <c r="D427">
        <v>8</v>
      </c>
      <c r="E427" t="s">
        <v>77</v>
      </c>
      <c r="F427" t="s">
        <v>83</v>
      </c>
    </row>
    <row r="428" spans="1:6" x14ac:dyDescent="0.3">
      <c r="A428" t="s">
        <v>784</v>
      </c>
      <c r="B428" t="s">
        <v>361</v>
      </c>
      <c r="C428" t="s">
        <v>56</v>
      </c>
      <c r="D428">
        <v>2</v>
      </c>
      <c r="E428" t="s">
        <v>82</v>
      </c>
      <c r="F428" t="s">
        <v>92</v>
      </c>
    </row>
    <row r="429" spans="1:6" x14ac:dyDescent="0.3">
      <c r="A429" t="s">
        <v>785</v>
      </c>
      <c r="B429" t="s">
        <v>269</v>
      </c>
      <c r="C429" t="s">
        <v>54</v>
      </c>
      <c r="D429">
        <v>7</v>
      </c>
      <c r="E429" t="s">
        <v>82</v>
      </c>
      <c r="F429" t="s">
        <v>92</v>
      </c>
    </row>
    <row r="430" spans="1:6" x14ac:dyDescent="0.3">
      <c r="A430" t="s">
        <v>786</v>
      </c>
      <c r="B430" t="s">
        <v>787</v>
      </c>
      <c r="C430" t="s">
        <v>64</v>
      </c>
      <c r="D430">
        <v>7</v>
      </c>
      <c r="E430" t="s">
        <v>82</v>
      </c>
      <c r="F430" t="s">
        <v>83</v>
      </c>
    </row>
    <row r="431" spans="1:6" x14ac:dyDescent="0.3">
      <c r="A431" t="s">
        <v>788</v>
      </c>
      <c r="B431" t="s">
        <v>322</v>
      </c>
      <c r="C431" t="s">
        <v>588</v>
      </c>
      <c r="D431">
        <v>1</v>
      </c>
      <c r="E431" t="s">
        <v>91</v>
      </c>
      <c r="F431" t="s">
        <v>78</v>
      </c>
    </row>
    <row r="432" spans="1:6" x14ac:dyDescent="0.3">
      <c r="A432" t="s">
        <v>789</v>
      </c>
      <c r="B432" t="s">
        <v>189</v>
      </c>
      <c r="C432" t="s">
        <v>81</v>
      </c>
      <c r="D432">
        <v>12</v>
      </c>
      <c r="E432" t="s">
        <v>82</v>
      </c>
      <c r="F432" t="s">
        <v>78</v>
      </c>
    </row>
    <row r="433" spans="1:6" x14ac:dyDescent="0.3">
      <c r="A433" t="s">
        <v>790</v>
      </c>
      <c r="B433" t="s">
        <v>540</v>
      </c>
      <c r="C433" t="s">
        <v>43</v>
      </c>
      <c r="D433">
        <v>14</v>
      </c>
      <c r="E433" t="s">
        <v>86</v>
      </c>
      <c r="F433" t="s">
        <v>78</v>
      </c>
    </row>
    <row r="434" spans="1:6" x14ac:dyDescent="0.3">
      <c r="A434" t="s">
        <v>791</v>
      </c>
      <c r="B434" t="s">
        <v>90</v>
      </c>
      <c r="C434" t="s">
        <v>45</v>
      </c>
      <c r="D434">
        <v>11</v>
      </c>
      <c r="E434" t="s">
        <v>91</v>
      </c>
      <c r="F434" t="s">
        <v>78</v>
      </c>
    </row>
    <row r="435" spans="1:6" x14ac:dyDescent="0.3">
      <c r="A435" t="s">
        <v>792</v>
      </c>
      <c r="B435" t="s">
        <v>96</v>
      </c>
      <c r="C435" t="s">
        <v>52</v>
      </c>
      <c r="D435">
        <v>11</v>
      </c>
      <c r="E435" t="s">
        <v>77</v>
      </c>
      <c r="F435" t="s">
        <v>83</v>
      </c>
    </row>
    <row r="436" spans="1:6" x14ac:dyDescent="0.3">
      <c r="A436" t="s">
        <v>793</v>
      </c>
      <c r="B436" t="s">
        <v>794</v>
      </c>
      <c r="C436" t="s">
        <v>64</v>
      </c>
      <c r="D436">
        <v>6</v>
      </c>
      <c r="E436" t="s">
        <v>91</v>
      </c>
      <c r="F436" t="s">
        <v>78</v>
      </c>
    </row>
    <row r="437" spans="1:6" x14ac:dyDescent="0.3">
      <c r="A437" t="s">
        <v>795</v>
      </c>
      <c r="B437" t="s">
        <v>320</v>
      </c>
      <c r="C437" t="s">
        <v>24</v>
      </c>
      <c r="D437">
        <v>6</v>
      </c>
      <c r="E437" t="s">
        <v>86</v>
      </c>
      <c r="F437" t="s">
        <v>78</v>
      </c>
    </row>
    <row r="438" spans="1:6" x14ac:dyDescent="0.3">
      <c r="A438" t="s">
        <v>796</v>
      </c>
      <c r="B438" t="s">
        <v>713</v>
      </c>
      <c r="C438" t="s">
        <v>39</v>
      </c>
      <c r="D438">
        <v>8</v>
      </c>
      <c r="E438" t="s">
        <v>91</v>
      </c>
      <c r="F438" t="s">
        <v>78</v>
      </c>
    </row>
    <row r="439" spans="1:6" x14ac:dyDescent="0.3">
      <c r="A439" t="s">
        <v>797</v>
      </c>
      <c r="B439" t="s">
        <v>344</v>
      </c>
      <c r="C439" t="s">
        <v>18</v>
      </c>
      <c r="D439">
        <v>2</v>
      </c>
      <c r="E439" t="s">
        <v>91</v>
      </c>
      <c r="F439" t="s">
        <v>83</v>
      </c>
    </row>
    <row r="440" spans="1:6" x14ac:dyDescent="0.3">
      <c r="A440" t="s">
        <v>798</v>
      </c>
      <c r="B440" t="s">
        <v>652</v>
      </c>
      <c r="C440" t="s">
        <v>26</v>
      </c>
      <c r="D440">
        <v>6</v>
      </c>
      <c r="E440" t="s">
        <v>77</v>
      </c>
      <c r="F440" t="s">
        <v>83</v>
      </c>
    </row>
    <row r="441" spans="1:6" x14ac:dyDescent="0.3">
      <c r="A441" t="s">
        <v>799</v>
      </c>
      <c r="B441" t="s">
        <v>800</v>
      </c>
      <c r="C441" t="s">
        <v>47</v>
      </c>
      <c r="D441">
        <v>10</v>
      </c>
      <c r="E441" t="s">
        <v>77</v>
      </c>
      <c r="F441" t="s">
        <v>78</v>
      </c>
    </row>
    <row r="442" spans="1:6" x14ac:dyDescent="0.3">
      <c r="A442" t="s">
        <v>801</v>
      </c>
      <c r="B442" t="s">
        <v>794</v>
      </c>
      <c r="C442" t="s">
        <v>39</v>
      </c>
      <c r="D442">
        <v>8</v>
      </c>
      <c r="E442" t="s">
        <v>82</v>
      </c>
      <c r="F442" t="s">
        <v>92</v>
      </c>
    </row>
    <row r="443" spans="1:6" x14ac:dyDescent="0.3">
      <c r="A443" t="s">
        <v>802</v>
      </c>
      <c r="B443" t="s">
        <v>803</v>
      </c>
      <c r="C443" t="s">
        <v>52</v>
      </c>
      <c r="D443">
        <v>11</v>
      </c>
      <c r="E443" t="s">
        <v>86</v>
      </c>
      <c r="F443" t="s">
        <v>83</v>
      </c>
    </row>
    <row r="444" spans="1:6" x14ac:dyDescent="0.3">
      <c r="A444" t="s">
        <v>804</v>
      </c>
      <c r="B444" t="s">
        <v>80</v>
      </c>
      <c r="C444" t="s">
        <v>52</v>
      </c>
      <c r="D444">
        <v>14</v>
      </c>
      <c r="E444" t="s">
        <v>77</v>
      </c>
      <c r="F444" t="s">
        <v>83</v>
      </c>
    </row>
    <row r="445" spans="1:6" x14ac:dyDescent="0.3">
      <c r="A445" t="s">
        <v>805</v>
      </c>
      <c r="B445" t="s">
        <v>292</v>
      </c>
      <c r="C445" t="s">
        <v>68</v>
      </c>
      <c r="D445">
        <v>1</v>
      </c>
      <c r="E445" t="s">
        <v>82</v>
      </c>
      <c r="F445" t="s">
        <v>92</v>
      </c>
    </row>
    <row r="446" spans="1:6" x14ac:dyDescent="0.3">
      <c r="A446" t="s">
        <v>806</v>
      </c>
      <c r="B446" t="s">
        <v>218</v>
      </c>
      <c r="C446" t="s">
        <v>56</v>
      </c>
      <c r="D446">
        <v>8</v>
      </c>
      <c r="E446" t="s">
        <v>86</v>
      </c>
      <c r="F446" t="s">
        <v>92</v>
      </c>
    </row>
    <row r="447" spans="1:6" x14ac:dyDescent="0.3">
      <c r="A447" t="s">
        <v>807</v>
      </c>
      <c r="B447" t="s">
        <v>564</v>
      </c>
      <c r="C447" t="s">
        <v>14</v>
      </c>
      <c r="D447">
        <v>12</v>
      </c>
      <c r="E447" t="s">
        <v>86</v>
      </c>
      <c r="F447" t="s">
        <v>83</v>
      </c>
    </row>
    <row r="448" spans="1:6" x14ac:dyDescent="0.3">
      <c r="A448" t="s">
        <v>808</v>
      </c>
      <c r="B448" t="s">
        <v>809</v>
      </c>
      <c r="C448" t="s">
        <v>33</v>
      </c>
      <c r="D448">
        <v>8</v>
      </c>
      <c r="E448" t="s">
        <v>86</v>
      </c>
      <c r="F448" t="s">
        <v>83</v>
      </c>
    </row>
    <row r="449" spans="1:6" x14ac:dyDescent="0.3">
      <c r="A449" t="s">
        <v>810</v>
      </c>
      <c r="B449" t="s">
        <v>222</v>
      </c>
      <c r="C449" t="s">
        <v>49</v>
      </c>
      <c r="D449">
        <v>14</v>
      </c>
      <c r="E449" t="s">
        <v>77</v>
      </c>
      <c r="F449" t="s">
        <v>92</v>
      </c>
    </row>
    <row r="450" spans="1:6" x14ac:dyDescent="0.3">
      <c r="A450" t="s">
        <v>811</v>
      </c>
      <c r="B450" t="s">
        <v>292</v>
      </c>
      <c r="C450" t="s">
        <v>10</v>
      </c>
      <c r="D450">
        <v>7</v>
      </c>
      <c r="E450" t="s">
        <v>91</v>
      </c>
      <c r="F450" t="s">
        <v>92</v>
      </c>
    </row>
    <row r="451" spans="1:6" x14ac:dyDescent="0.3">
      <c r="A451" t="s">
        <v>812</v>
      </c>
      <c r="B451" t="s">
        <v>422</v>
      </c>
      <c r="C451" t="s">
        <v>20</v>
      </c>
      <c r="D451">
        <v>5</v>
      </c>
      <c r="E451" t="s">
        <v>86</v>
      </c>
      <c r="F451" t="s">
        <v>83</v>
      </c>
    </row>
    <row r="452" spans="1:6" x14ac:dyDescent="0.3">
      <c r="A452" t="s">
        <v>813</v>
      </c>
      <c r="B452" t="s">
        <v>149</v>
      </c>
      <c r="C452" t="s">
        <v>24</v>
      </c>
      <c r="D452">
        <v>6</v>
      </c>
      <c r="E452" t="s">
        <v>91</v>
      </c>
      <c r="F452" t="s">
        <v>83</v>
      </c>
    </row>
    <row r="453" spans="1:6" x14ac:dyDescent="0.3">
      <c r="A453" t="s">
        <v>814</v>
      </c>
      <c r="B453" t="s">
        <v>815</v>
      </c>
      <c r="C453" t="s">
        <v>64</v>
      </c>
      <c r="D453">
        <v>14</v>
      </c>
      <c r="E453" t="s">
        <v>91</v>
      </c>
      <c r="F453" t="s">
        <v>78</v>
      </c>
    </row>
    <row r="454" spans="1:6" x14ac:dyDescent="0.3">
      <c r="A454" t="s">
        <v>816</v>
      </c>
      <c r="B454" t="s">
        <v>817</v>
      </c>
      <c r="C454" t="s">
        <v>14</v>
      </c>
      <c r="D454">
        <v>3</v>
      </c>
      <c r="E454" t="s">
        <v>82</v>
      </c>
      <c r="F454" t="s">
        <v>83</v>
      </c>
    </row>
    <row r="455" spans="1:6" x14ac:dyDescent="0.3">
      <c r="A455" t="s">
        <v>818</v>
      </c>
      <c r="B455" t="s">
        <v>819</v>
      </c>
      <c r="C455" t="s">
        <v>500</v>
      </c>
      <c r="D455">
        <v>3</v>
      </c>
      <c r="E455" t="s">
        <v>86</v>
      </c>
      <c r="F455" t="s">
        <v>92</v>
      </c>
    </row>
    <row r="456" spans="1:6" x14ac:dyDescent="0.3">
      <c r="A456" t="s">
        <v>820</v>
      </c>
      <c r="B456" t="s">
        <v>821</v>
      </c>
      <c r="C456" t="s">
        <v>18</v>
      </c>
      <c r="D456">
        <v>12</v>
      </c>
      <c r="E456" t="s">
        <v>77</v>
      </c>
      <c r="F456" t="s">
        <v>92</v>
      </c>
    </row>
    <row r="457" spans="1:6" x14ac:dyDescent="0.3">
      <c r="A457" t="s">
        <v>822</v>
      </c>
      <c r="B457" t="s">
        <v>379</v>
      </c>
      <c r="C457" t="s">
        <v>28</v>
      </c>
      <c r="D457">
        <v>4</v>
      </c>
      <c r="E457" t="s">
        <v>77</v>
      </c>
      <c r="F457" t="s">
        <v>78</v>
      </c>
    </row>
    <row r="458" spans="1:6" x14ac:dyDescent="0.3">
      <c r="A458" t="s">
        <v>823</v>
      </c>
      <c r="B458" t="s">
        <v>824</v>
      </c>
      <c r="C458" t="s">
        <v>31</v>
      </c>
      <c r="D458">
        <v>10</v>
      </c>
      <c r="E458" t="s">
        <v>86</v>
      </c>
      <c r="F458" t="s">
        <v>83</v>
      </c>
    </row>
    <row r="459" spans="1:6" x14ac:dyDescent="0.3">
      <c r="A459" t="s">
        <v>825</v>
      </c>
      <c r="B459" t="s">
        <v>783</v>
      </c>
      <c r="C459" t="s">
        <v>12</v>
      </c>
      <c r="D459">
        <v>8</v>
      </c>
      <c r="E459" t="s">
        <v>82</v>
      </c>
      <c r="F459" t="s">
        <v>78</v>
      </c>
    </row>
    <row r="460" spans="1:6" x14ac:dyDescent="0.3">
      <c r="A460" t="s">
        <v>826</v>
      </c>
      <c r="B460" t="s">
        <v>827</v>
      </c>
      <c r="C460" t="s">
        <v>39</v>
      </c>
      <c r="D460">
        <v>2</v>
      </c>
      <c r="E460" t="s">
        <v>91</v>
      </c>
      <c r="F460" t="s">
        <v>78</v>
      </c>
    </row>
    <row r="461" spans="1:6" x14ac:dyDescent="0.3">
      <c r="A461" t="s">
        <v>828</v>
      </c>
      <c r="B461" t="s">
        <v>821</v>
      </c>
      <c r="C461" t="s">
        <v>24</v>
      </c>
      <c r="D461">
        <v>1</v>
      </c>
      <c r="E461" t="s">
        <v>77</v>
      </c>
      <c r="F461" t="s">
        <v>78</v>
      </c>
    </row>
    <row r="462" spans="1:6" x14ac:dyDescent="0.3">
      <c r="A462" t="s">
        <v>829</v>
      </c>
      <c r="B462" t="s">
        <v>830</v>
      </c>
      <c r="C462" t="s">
        <v>831</v>
      </c>
      <c r="D462">
        <v>10</v>
      </c>
      <c r="E462" t="s">
        <v>86</v>
      </c>
      <c r="F462" t="s">
        <v>92</v>
      </c>
    </row>
    <row r="463" spans="1:6" x14ac:dyDescent="0.3">
      <c r="A463" t="s">
        <v>832</v>
      </c>
      <c r="B463" t="s">
        <v>306</v>
      </c>
      <c r="C463" t="s">
        <v>66</v>
      </c>
      <c r="D463">
        <v>14</v>
      </c>
      <c r="E463" t="s">
        <v>82</v>
      </c>
      <c r="F463" t="s">
        <v>92</v>
      </c>
    </row>
    <row r="464" spans="1:6" x14ac:dyDescent="0.3">
      <c r="A464" t="s">
        <v>833</v>
      </c>
      <c r="B464" t="s">
        <v>388</v>
      </c>
      <c r="C464" t="s">
        <v>49</v>
      </c>
      <c r="D464">
        <v>6</v>
      </c>
      <c r="E464" t="s">
        <v>77</v>
      </c>
      <c r="F464" t="s">
        <v>78</v>
      </c>
    </row>
    <row r="465" spans="1:6" x14ac:dyDescent="0.3">
      <c r="A465" t="s">
        <v>834</v>
      </c>
      <c r="B465" t="s">
        <v>149</v>
      </c>
      <c r="C465" t="s">
        <v>10</v>
      </c>
      <c r="D465">
        <v>5</v>
      </c>
      <c r="E465" t="s">
        <v>86</v>
      </c>
      <c r="F465" t="s">
        <v>92</v>
      </c>
    </row>
    <row r="466" spans="1:6" x14ac:dyDescent="0.3">
      <c r="A466" t="s">
        <v>835</v>
      </c>
      <c r="B466" t="s">
        <v>526</v>
      </c>
      <c r="C466" t="s">
        <v>22</v>
      </c>
      <c r="D466">
        <v>3</v>
      </c>
      <c r="E466" t="s">
        <v>82</v>
      </c>
      <c r="F466" t="s">
        <v>78</v>
      </c>
    </row>
    <row r="467" spans="1:6" x14ac:dyDescent="0.3">
      <c r="A467" t="s">
        <v>836</v>
      </c>
      <c r="B467" t="s">
        <v>213</v>
      </c>
      <c r="C467" t="s">
        <v>24</v>
      </c>
      <c r="D467">
        <v>9</v>
      </c>
      <c r="E467" t="s">
        <v>82</v>
      </c>
      <c r="F467" t="s">
        <v>92</v>
      </c>
    </row>
    <row r="468" spans="1:6" x14ac:dyDescent="0.3">
      <c r="A468" t="s">
        <v>837</v>
      </c>
      <c r="B468" t="s">
        <v>388</v>
      </c>
      <c r="C468" t="s">
        <v>12</v>
      </c>
      <c r="D468">
        <v>2</v>
      </c>
      <c r="E468" t="s">
        <v>86</v>
      </c>
      <c r="F468" t="s">
        <v>92</v>
      </c>
    </row>
    <row r="469" spans="1:6" x14ac:dyDescent="0.3">
      <c r="A469" t="s">
        <v>838</v>
      </c>
      <c r="B469" t="s">
        <v>839</v>
      </c>
      <c r="C469" t="s">
        <v>24</v>
      </c>
      <c r="D469">
        <v>10</v>
      </c>
      <c r="E469" t="s">
        <v>77</v>
      </c>
      <c r="F469" t="s">
        <v>92</v>
      </c>
    </row>
    <row r="470" spans="1:6" x14ac:dyDescent="0.3">
      <c r="A470" t="s">
        <v>840</v>
      </c>
      <c r="B470" t="s">
        <v>90</v>
      </c>
      <c r="C470" t="s">
        <v>284</v>
      </c>
      <c r="D470">
        <v>5</v>
      </c>
      <c r="E470" t="s">
        <v>91</v>
      </c>
      <c r="F470" t="s">
        <v>92</v>
      </c>
    </row>
    <row r="471" spans="1:6" x14ac:dyDescent="0.3">
      <c r="A471" t="s">
        <v>841</v>
      </c>
      <c r="B471" t="s">
        <v>134</v>
      </c>
      <c r="C471" t="s">
        <v>10</v>
      </c>
      <c r="D471">
        <v>14</v>
      </c>
      <c r="E471" t="s">
        <v>86</v>
      </c>
      <c r="F471" t="s">
        <v>78</v>
      </c>
    </row>
    <row r="472" spans="1:6" x14ac:dyDescent="0.3">
      <c r="A472" t="s">
        <v>842</v>
      </c>
      <c r="B472" t="s">
        <v>843</v>
      </c>
      <c r="C472" t="s">
        <v>26</v>
      </c>
      <c r="D472">
        <v>14</v>
      </c>
      <c r="E472" t="s">
        <v>82</v>
      </c>
      <c r="F472" t="s">
        <v>92</v>
      </c>
    </row>
    <row r="473" spans="1:6" x14ac:dyDescent="0.3">
      <c r="A473" t="s">
        <v>844</v>
      </c>
      <c r="B473" t="s">
        <v>735</v>
      </c>
      <c r="C473" t="s">
        <v>14</v>
      </c>
      <c r="D473">
        <v>11</v>
      </c>
      <c r="E473" t="s">
        <v>77</v>
      </c>
      <c r="F473" t="s">
        <v>92</v>
      </c>
    </row>
    <row r="474" spans="1:6" x14ac:dyDescent="0.3">
      <c r="A474" t="s">
        <v>845</v>
      </c>
      <c r="B474" t="s">
        <v>846</v>
      </c>
      <c r="C474" t="s">
        <v>24</v>
      </c>
      <c r="D474">
        <v>1</v>
      </c>
      <c r="E474" t="s">
        <v>82</v>
      </c>
      <c r="F474" t="s">
        <v>78</v>
      </c>
    </row>
    <row r="475" spans="1:6" x14ac:dyDescent="0.3">
      <c r="A475" t="s">
        <v>847</v>
      </c>
      <c r="B475" t="s">
        <v>444</v>
      </c>
      <c r="C475" t="s">
        <v>472</v>
      </c>
      <c r="D475">
        <v>1</v>
      </c>
      <c r="E475" t="s">
        <v>86</v>
      </c>
      <c r="F475" t="s">
        <v>83</v>
      </c>
    </row>
    <row r="476" spans="1:6" x14ac:dyDescent="0.3">
      <c r="A476" t="s">
        <v>848</v>
      </c>
      <c r="B476" t="s">
        <v>849</v>
      </c>
      <c r="C476" t="s">
        <v>35</v>
      </c>
      <c r="D476">
        <v>8</v>
      </c>
      <c r="E476" t="s">
        <v>82</v>
      </c>
      <c r="F476" t="s">
        <v>83</v>
      </c>
    </row>
    <row r="477" spans="1:6" x14ac:dyDescent="0.3">
      <c r="A477" t="s">
        <v>850</v>
      </c>
      <c r="B477" t="s">
        <v>448</v>
      </c>
      <c r="C477" t="s">
        <v>43</v>
      </c>
      <c r="D477">
        <v>1</v>
      </c>
      <c r="E477" t="s">
        <v>86</v>
      </c>
      <c r="F477" t="s">
        <v>78</v>
      </c>
    </row>
    <row r="478" spans="1:6" x14ac:dyDescent="0.3">
      <c r="A478" t="s">
        <v>851</v>
      </c>
      <c r="B478" t="s">
        <v>852</v>
      </c>
      <c r="C478" t="s">
        <v>49</v>
      </c>
      <c r="D478">
        <v>8</v>
      </c>
      <c r="E478" t="s">
        <v>77</v>
      </c>
      <c r="F478" t="s">
        <v>78</v>
      </c>
    </row>
    <row r="479" spans="1:6" x14ac:dyDescent="0.3">
      <c r="A479" t="s">
        <v>853</v>
      </c>
      <c r="B479" t="s">
        <v>234</v>
      </c>
      <c r="C479" t="s">
        <v>41</v>
      </c>
      <c r="D479">
        <v>13</v>
      </c>
      <c r="E479" t="s">
        <v>86</v>
      </c>
      <c r="F479" t="s">
        <v>92</v>
      </c>
    </row>
    <row r="480" spans="1:6" x14ac:dyDescent="0.3">
      <c r="A480" t="s">
        <v>854</v>
      </c>
      <c r="B480" t="s">
        <v>338</v>
      </c>
      <c r="C480" t="s">
        <v>31</v>
      </c>
      <c r="D480">
        <v>2</v>
      </c>
      <c r="E480" t="s">
        <v>86</v>
      </c>
      <c r="F480" t="s">
        <v>83</v>
      </c>
    </row>
    <row r="481" spans="1:6" x14ac:dyDescent="0.3">
      <c r="A481" t="s">
        <v>855</v>
      </c>
      <c r="B481" t="s">
        <v>720</v>
      </c>
      <c r="C481" t="s">
        <v>22</v>
      </c>
      <c r="D481">
        <v>2</v>
      </c>
      <c r="E481" t="s">
        <v>86</v>
      </c>
      <c r="F481" t="s">
        <v>92</v>
      </c>
    </row>
    <row r="482" spans="1:6" x14ac:dyDescent="0.3">
      <c r="A482" t="s">
        <v>856</v>
      </c>
      <c r="B482" t="s">
        <v>542</v>
      </c>
      <c r="C482" t="s">
        <v>16</v>
      </c>
      <c r="D482">
        <v>12</v>
      </c>
      <c r="E482" t="s">
        <v>91</v>
      </c>
      <c r="F482" t="s">
        <v>83</v>
      </c>
    </row>
    <row r="483" spans="1:6" x14ac:dyDescent="0.3">
      <c r="A483" t="s">
        <v>857</v>
      </c>
      <c r="B483" t="s">
        <v>286</v>
      </c>
      <c r="C483" t="s">
        <v>28</v>
      </c>
      <c r="D483">
        <v>13</v>
      </c>
      <c r="E483" t="s">
        <v>86</v>
      </c>
      <c r="F483" t="s">
        <v>78</v>
      </c>
    </row>
    <row r="484" spans="1:6" x14ac:dyDescent="0.3">
      <c r="A484" t="s">
        <v>858</v>
      </c>
      <c r="B484" t="s">
        <v>859</v>
      </c>
      <c r="C484" t="s">
        <v>26</v>
      </c>
      <c r="D484">
        <v>4</v>
      </c>
      <c r="E484" t="s">
        <v>77</v>
      </c>
      <c r="F484" t="s">
        <v>83</v>
      </c>
    </row>
    <row r="485" spans="1:6" x14ac:dyDescent="0.3">
      <c r="A485" t="s">
        <v>860</v>
      </c>
      <c r="B485" t="s">
        <v>436</v>
      </c>
      <c r="C485" t="s">
        <v>66</v>
      </c>
      <c r="D485">
        <v>9</v>
      </c>
      <c r="E485" t="s">
        <v>82</v>
      </c>
      <c r="F485" t="s">
        <v>78</v>
      </c>
    </row>
    <row r="486" spans="1:6" x14ac:dyDescent="0.3">
      <c r="A486" t="s">
        <v>861</v>
      </c>
      <c r="B486" t="s">
        <v>862</v>
      </c>
      <c r="C486" t="s">
        <v>16</v>
      </c>
      <c r="D486">
        <v>9</v>
      </c>
      <c r="E486" t="s">
        <v>82</v>
      </c>
      <c r="F486" t="s">
        <v>83</v>
      </c>
    </row>
    <row r="487" spans="1:6" x14ac:dyDescent="0.3">
      <c r="A487" t="s">
        <v>863</v>
      </c>
      <c r="B487" t="s">
        <v>864</v>
      </c>
      <c r="C487" t="s">
        <v>66</v>
      </c>
      <c r="D487">
        <v>1</v>
      </c>
      <c r="E487" t="s">
        <v>82</v>
      </c>
      <c r="F487" t="s">
        <v>83</v>
      </c>
    </row>
    <row r="488" spans="1:6" x14ac:dyDescent="0.3">
      <c r="A488" t="s">
        <v>865</v>
      </c>
      <c r="B488" t="s">
        <v>162</v>
      </c>
      <c r="C488" t="s">
        <v>866</v>
      </c>
      <c r="D488">
        <v>5</v>
      </c>
      <c r="E488" t="s">
        <v>82</v>
      </c>
      <c r="F488" t="s">
        <v>78</v>
      </c>
    </row>
    <row r="489" spans="1:6" x14ac:dyDescent="0.3">
      <c r="A489" t="s">
        <v>867</v>
      </c>
      <c r="B489" t="s">
        <v>868</v>
      </c>
      <c r="C489" t="s">
        <v>45</v>
      </c>
      <c r="D489">
        <v>3</v>
      </c>
      <c r="E489" t="s">
        <v>82</v>
      </c>
      <c r="F489" t="s">
        <v>83</v>
      </c>
    </row>
    <row r="490" spans="1:6" x14ac:dyDescent="0.3">
      <c r="A490" t="s">
        <v>869</v>
      </c>
      <c r="B490" t="s">
        <v>220</v>
      </c>
      <c r="C490" t="s">
        <v>39</v>
      </c>
      <c r="D490">
        <v>2</v>
      </c>
      <c r="E490" t="s">
        <v>77</v>
      </c>
      <c r="F490" t="s">
        <v>78</v>
      </c>
    </row>
    <row r="491" spans="1:6" x14ac:dyDescent="0.3">
      <c r="A491" t="s">
        <v>870</v>
      </c>
      <c r="B491" t="s">
        <v>800</v>
      </c>
      <c r="C491" t="s">
        <v>871</v>
      </c>
      <c r="D491">
        <v>11</v>
      </c>
      <c r="E491" t="s">
        <v>91</v>
      </c>
      <c r="F491" t="s">
        <v>78</v>
      </c>
    </row>
    <row r="492" spans="1:6" x14ac:dyDescent="0.3">
      <c r="A492" t="s">
        <v>872</v>
      </c>
      <c r="B492" t="s">
        <v>873</v>
      </c>
      <c r="C492" t="s">
        <v>58</v>
      </c>
      <c r="D492">
        <v>11</v>
      </c>
      <c r="E492" t="s">
        <v>86</v>
      </c>
      <c r="F492" t="s">
        <v>83</v>
      </c>
    </row>
    <row r="493" spans="1:6" x14ac:dyDescent="0.3">
      <c r="A493" t="s">
        <v>874</v>
      </c>
      <c r="B493" t="s">
        <v>800</v>
      </c>
      <c r="C493" t="s">
        <v>49</v>
      </c>
      <c r="D493">
        <v>7</v>
      </c>
      <c r="E493" t="s">
        <v>77</v>
      </c>
      <c r="F493" t="s">
        <v>92</v>
      </c>
    </row>
    <row r="494" spans="1:6" x14ac:dyDescent="0.3">
      <c r="A494" t="s">
        <v>875</v>
      </c>
      <c r="B494" t="s">
        <v>876</v>
      </c>
      <c r="C494" t="s">
        <v>31</v>
      </c>
      <c r="D494">
        <v>3</v>
      </c>
      <c r="E494" t="s">
        <v>86</v>
      </c>
      <c r="F494" t="s">
        <v>83</v>
      </c>
    </row>
    <row r="495" spans="1:6" x14ac:dyDescent="0.3">
      <c r="A495" t="s">
        <v>877</v>
      </c>
      <c r="B495" t="s">
        <v>750</v>
      </c>
      <c r="C495" t="s">
        <v>68</v>
      </c>
      <c r="D495">
        <v>1</v>
      </c>
      <c r="E495" t="s">
        <v>91</v>
      </c>
      <c r="F495" t="s">
        <v>83</v>
      </c>
    </row>
    <row r="496" spans="1:6" x14ac:dyDescent="0.3">
      <c r="A496" t="s">
        <v>878</v>
      </c>
      <c r="B496" t="s">
        <v>879</v>
      </c>
      <c r="C496" t="s">
        <v>22</v>
      </c>
      <c r="D496">
        <v>7</v>
      </c>
      <c r="E496" t="s">
        <v>91</v>
      </c>
      <c r="F496" t="s">
        <v>92</v>
      </c>
    </row>
    <row r="497" spans="1:6" x14ac:dyDescent="0.3">
      <c r="A497" t="s">
        <v>880</v>
      </c>
      <c r="B497" t="s">
        <v>748</v>
      </c>
      <c r="C497" t="s">
        <v>41</v>
      </c>
      <c r="D497">
        <v>14</v>
      </c>
      <c r="E497" t="s">
        <v>86</v>
      </c>
      <c r="F497" t="s">
        <v>83</v>
      </c>
    </row>
    <row r="498" spans="1:6" x14ac:dyDescent="0.3">
      <c r="A498" t="s">
        <v>881</v>
      </c>
      <c r="B498" t="s">
        <v>173</v>
      </c>
      <c r="C498" t="s">
        <v>58</v>
      </c>
      <c r="D498">
        <v>13</v>
      </c>
      <c r="E498" t="s">
        <v>77</v>
      </c>
      <c r="F498" t="s">
        <v>83</v>
      </c>
    </row>
    <row r="499" spans="1:6" x14ac:dyDescent="0.3">
      <c r="A499" t="s">
        <v>882</v>
      </c>
      <c r="B499" t="s">
        <v>347</v>
      </c>
      <c r="C499" t="s">
        <v>26</v>
      </c>
      <c r="D499">
        <v>7</v>
      </c>
      <c r="E499" t="s">
        <v>91</v>
      </c>
      <c r="F499" t="s">
        <v>78</v>
      </c>
    </row>
    <row r="500" spans="1:6" x14ac:dyDescent="0.3">
      <c r="A500" t="s">
        <v>883</v>
      </c>
      <c r="B500" t="s">
        <v>458</v>
      </c>
      <c r="C500" t="s">
        <v>20</v>
      </c>
      <c r="D500">
        <v>7</v>
      </c>
      <c r="E500" t="s">
        <v>86</v>
      </c>
      <c r="F500" t="s">
        <v>78</v>
      </c>
    </row>
    <row r="501" spans="1:6" x14ac:dyDescent="0.3">
      <c r="A501" t="s">
        <v>884</v>
      </c>
      <c r="B501" t="s">
        <v>885</v>
      </c>
      <c r="C501" t="s">
        <v>47</v>
      </c>
      <c r="D501">
        <v>1</v>
      </c>
      <c r="E501" t="s">
        <v>86</v>
      </c>
      <c r="F501" t="s">
        <v>83</v>
      </c>
    </row>
    <row r="502" spans="1:6" x14ac:dyDescent="0.3">
      <c r="A502" t="s">
        <v>886</v>
      </c>
      <c r="B502" t="s">
        <v>595</v>
      </c>
      <c r="C502" t="s">
        <v>14</v>
      </c>
      <c r="D502">
        <v>1</v>
      </c>
      <c r="E502" t="s">
        <v>82</v>
      </c>
      <c r="F502" t="s">
        <v>78</v>
      </c>
    </row>
    <row r="503" spans="1:6" x14ac:dyDescent="0.3">
      <c r="A503" t="s">
        <v>887</v>
      </c>
      <c r="B503" t="s">
        <v>772</v>
      </c>
      <c r="C503" t="s">
        <v>66</v>
      </c>
      <c r="D503">
        <v>14</v>
      </c>
      <c r="E503" t="s">
        <v>77</v>
      </c>
      <c r="F503" t="s">
        <v>83</v>
      </c>
    </row>
    <row r="504" spans="1:6" x14ac:dyDescent="0.3">
      <c r="A504" t="s">
        <v>888</v>
      </c>
      <c r="B504" t="s">
        <v>536</v>
      </c>
      <c r="C504" t="s">
        <v>22</v>
      </c>
      <c r="D504">
        <v>13</v>
      </c>
      <c r="E504" t="s">
        <v>82</v>
      </c>
      <c r="F504" t="s">
        <v>83</v>
      </c>
    </row>
    <row r="505" spans="1:6" x14ac:dyDescent="0.3">
      <c r="A505" t="s">
        <v>889</v>
      </c>
      <c r="B505" t="s">
        <v>431</v>
      </c>
      <c r="C505" t="s">
        <v>31</v>
      </c>
      <c r="D505">
        <v>5</v>
      </c>
      <c r="E505" t="s">
        <v>86</v>
      </c>
      <c r="F505" t="s">
        <v>83</v>
      </c>
    </row>
    <row r="506" spans="1:6" x14ac:dyDescent="0.3">
      <c r="A506" t="s">
        <v>890</v>
      </c>
      <c r="B506" t="s">
        <v>760</v>
      </c>
      <c r="C506" t="s">
        <v>16</v>
      </c>
      <c r="D506">
        <v>14</v>
      </c>
      <c r="E506" t="s">
        <v>91</v>
      </c>
      <c r="F506" t="s">
        <v>78</v>
      </c>
    </row>
    <row r="507" spans="1:6" x14ac:dyDescent="0.3">
      <c r="A507" t="s">
        <v>891</v>
      </c>
      <c r="B507" t="s">
        <v>76</v>
      </c>
      <c r="C507" t="s">
        <v>20</v>
      </c>
      <c r="D507">
        <v>1</v>
      </c>
      <c r="E507" t="s">
        <v>77</v>
      </c>
      <c r="F507" t="s">
        <v>92</v>
      </c>
    </row>
    <row r="508" spans="1:6" x14ac:dyDescent="0.3">
      <c r="A508" t="s">
        <v>892</v>
      </c>
      <c r="B508" t="s">
        <v>893</v>
      </c>
      <c r="C508" t="s">
        <v>28</v>
      </c>
      <c r="D508">
        <v>6</v>
      </c>
      <c r="E508" t="s">
        <v>91</v>
      </c>
      <c r="F508" t="s">
        <v>92</v>
      </c>
    </row>
    <row r="509" spans="1:6" x14ac:dyDescent="0.3">
      <c r="A509" t="s">
        <v>894</v>
      </c>
      <c r="B509" t="s">
        <v>391</v>
      </c>
      <c r="C509" t="s">
        <v>37</v>
      </c>
      <c r="D509">
        <v>13</v>
      </c>
      <c r="E509" t="s">
        <v>82</v>
      </c>
      <c r="F509" t="s">
        <v>83</v>
      </c>
    </row>
    <row r="510" spans="1:6" x14ac:dyDescent="0.3">
      <c r="A510" t="s">
        <v>895</v>
      </c>
      <c r="B510" t="s">
        <v>896</v>
      </c>
      <c r="C510" t="s">
        <v>31</v>
      </c>
      <c r="D510">
        <v>1</v>
      </c>
      <c r="E510" t="s">
        <v>86</v>
      </c>
      <c r="F510" t="s">
        <v>92</v>
      </c>
    </row>
    <row r="511" spans="1:6" x14ac:dyDescent="0.3">
      <c r="A511" t="s">
        <v>897</v>
      </c>
      <c r="B511" t="s">
        <v>391</v>
      </c>
      <c r="C511" t="s">
        <v>26</v>
      </c>
      <c r="D511">
        <v>7</v>
      </c>
      <c r="E511" t="s">
        <v>82</v>
      </c>
      <c r="F511" t="s">
        <v>83</v>
      </c>
    </row>
    <row r="512" spans="1:6" x14ac:dyDescent="0.3">
      <c r="A512" t="s">
        <v>898</v>
      </c>
      <c r="B512" t="s">
        <v>899</v>
      </c>
      <c r="C512" t="s">
        <v>58</v>
      </c>
      <c r="D512">
        <v>10</v>
      </c>
      <c r="E512" t="s">
        <v>86</v>
      </c>
      <c r="F512" t="s">
        <v>78</v>
      </c>
    </row>
    <row r="513" spans="1:6" x14ac:dyDescent="0.3">
      <c r="A513" t="s">
        <v>900</v>
      </c>
      <c r="B513" t="s">
        <v>185</v>
      </c>
      <c r="C513" t="s">
        <v>26</v>
      </c>
      <c r="D513">
        <v>5</v>
      </c>
      <c r="E513" t="s">
        <v>82</v>
      </c>
      <c r="F513" t="s">
        <v>83</v>
      </c>
    </row>
    <row r="514" spans="1:6" x14ac:dyDescent="0.3">
      <c r="A514" t="s">
        <v>901</v>
      </c>
      <c r="B514" t="s">
        <v>701</v>
      </c>
      <c r="C514" t="s">
        <v>20</v>
      </c>
      <c r="D514">
        <v>13</v>
      </c>
      <c r="E514" t="s">
        <v>86</v>
      </c>
      <c r="F514" t="s">
        <v>92</v>
      </c>
    </row>
    <row r="515" spans="1:6" x14ac:dyDescent="0.3">
      <c r="A515" t="s">
        <v>902</v>
      </c>
      <c r="B515" t="s">
        <v>903</v>
      </c>
      <c r="C515" t="s">
        <v>24</v>
      </c>
      <c r="D515">
        <v>1</v>
      </c>
      <c r="E515" t="s">
        <v>77</v>
      </c>
      <c r="F515" t="s">
        <v>78</v>
      </c>
    </row>
    <row r="516" spans="1:6" x14ac:dyDescent="0.3">
      <c r="A516" t="s">
        <v>904</v>
      </c>
      <c r="B516" t="s">
        <v>203</v>
      </c>
      <c r="C516" t="s">
        <v>52</v>
      </c>
      <c r="D516">
        <v>2</v>
      </c>
      <c r="E516" t="s">
        <v>82</v>
      </c>
      <c r="F516" t="s">
        <v>92</v>
      </c>
    </row>
    <row r="517" spans="1:6" x14ac:dyDescent="0.3">
      <c r="A517" t="s">
        <v>905</v>
      </c>
      <c r="B517" t="s">
        <v>115</v>
      </c>
      <c r="C517" t="s">
        <v>397</v>
      </c>
      <c r="D517">
        <v>1</v>
      </c>
      <c r="E517" t="s">
        <v>91</v>
      </c>
      <c r="F517" t="s">
        <v>83</v>
      </c>
    </row>
    <row r="518" spans="1:6" x14ac:dyDescent="0.3">
      <c r="A518" t="s">
        <v>906</v>
      </c>
      <c r="B518" t="s">
        <v>907</v>
      </c>
      <c r="C518" t="s">
        <v>18</v>
      </c>
      <c r="D518">
        <v>1</v>
      </c>
      <c r="E518" t="s">
        <v>77</v>
      </c>
      <c r="F518" t="s">
        <v>78</v>
      </c>
    </row>
    <row r="519" spans="1:6" x14ac:dyDescent="0.3">
      <c r="A519" t="s">
        <v>908</v>
      </c>
      <c r="B519" t="s">
        <v>873</v>
      </c>
      <c r="C519" t="s">
        <v>397</v>
      </c>
      <c r="D519">
        <v>1</v>
      </c>
      <c r="E519" t="s">
        <v>77</v>
      </c>
      <c r="F519" t="s">
        <v>92</v>
      </c>
    </row>
    <row r="520" spans="1:6" x14ac:dyDescent="0.3">
      <c r="A520" t="s">
        <v>909</v>
      </c>
      <c r="B520" t="s">
        <v>910</v>
      </c>
      <c r="C520" t="s">
        <v>45</v>
      </c>
      <c r="D520">
        <v>12</v>
      </c>
      <c r="E520" t="s">
        <v>82</v>
      </c>
      <c r="F520" t="s">
        <v>78</v>
      </c>
    </row>
    <row r="521" spans="1:6" x14ac:dyDescent="0.3">
      <c r="A521" t="s">
        <v>911</v>
      </c>
      <c r="B521" t="s">
        <v>175</v>
      </c>
      <c r="C521" t="s">
        <v>58</v>
      </c>
      <c r="D521">
        <v>4</v>
      </c>
      <c r="E521" t="s">
        <v>86</v>
      </c>
      <c r="F521" t="s">
        <v>83</v>
      </c>
    </row>
    <row r="522" spans="1:6" x14ac:dyDescent="0.3">
      <c r="A522" t="s">
        <v>912</v>
      </c>
      <c r="B522" t="s">
        <v>621</v>
      </c>
      <c r="C522" t="s">
        <v>22</v>
      </c>
      <c r="D522">
        <v>11</v>
      </c>
      <c r="E522" t="s">
        <v>86</v>
      </c>
      <c r="F522" t="s">
        <v>78</v>
      </c>
    </row>
    <row r="523" spans="1:6" x14ac:dyDescent="0.3">
      <c r="A523" t="s">
        <v>913</v>
      </c>
      <c r="B523" t="s">
        <v>914</v>
      </c>
      <c r="C523" t="s">
        <v>10</v>
      </c>
      <c r="D523">
        <v>6</v>
      </c>
      <c r="E523" t="s">
        <v>86</v>
      </c>
      <c r="F523" t="s">
        <v>83</v>
      </c>
    </row>
    <row r="524" spans="1:6" x14ac:dyDescent="0.3">
      <c r="A524" t="s">
        <v>915</v>
      </c>
      <c r="B524" t="s">
        <v>876</v>
      </c>
      <c r="C524" t="s">
        <v>39</v>
      </c>
      <c r="D524">
        <v>6</v>
      </c>
      <c r="E524" t="s">
        <v>91</v>
      </c>
      <c r="F524" t="s">
        <v>92</v>
      </c>
    </row>
    <row r="525" spans="1:6" x14ac:dyDescent="0.3">
      <c r="A525" t="s">
        <v>916</v>
      </c>
      <c r="B525" t="s">
        <v>917</v>
      </c>
      <c r="C525" t="s">
        <v>47</v>
      </c>
      <c r="D525">
        <v>13</v>
      </c>
      <c r="E525" t="s">
        <v>77</v>
      </c>
      <c r="F525" t="s">
        <v>83</v>
      </c>
    </row>
    <row r="526" spans="1:6" x14ac:dyDescent="0.3">
      <c r="A526" t="s">
        <v>918</v>
      </c>
      <c r="B526" t="s">
        <v>903</v>
      </c>
      <c r="C526" t="s">
        <v>28</v>
      </c>
      <c r="D526">
        <v>12</v>
      </c>
      <c r="E526" t="s">
        <v>86</v>
      </c>
      <c r="F526" t="s">
        <v>92</v>
      </c>
    </row>
    <row r="527" spans="1:6" x14ac:dyDescent="0.3">
      <c r="A527" t="s">
        <v>919</v>
      </c>
      <c r="B527" t="s">
        <v>388</v>
      </c>
      <c r="C527" t="s">
        <v>66</v>
      </c>
      <c r="D527">
        <v>8</v>
      </c>
      <c r="E527" t="s">
        <v>77</v>
      </c>
      <c r="F527" t="s">
        <v>92</v>
      </c>
    </row>
    <row r="528" spans="1:6" x14ac:dyDescent="0.3">
      <c r="A528" t="s">
        <v>920</v>
      </c>
      <c r="B528" t="s">
        <v>448</v>
      </c>
      <c r="C528" t="s">
        <v>397</v>
      </c>
      <c r="D528">
        <v>6</v>
      </c>
      <c r="E528" t="s">
        <v>91</v>
      </c>
      <c r="F528" t="s">
        <v>78</v>
      </c>
    </row>
    <row r="529" spans="1:6" x14ac:dyDescent="0.3">
      <c r="A529" t="s">
        <v>921</v>
      </c>
      <c r="B529" t="s">
        <v>572</v>
      </c>
      <c r="C529" t="s">
        <v>28</v>
      </c>
      <c r="D529">
        <v>6</v>
      </c>
      <c r="E529" t="s">
        <v>82</v>
      </c>
      <c r="F529" t="s">
        <v>83</v>
      </c>
    </row>
    <row r="530" spans="1:6" x14ac:dyDescent="0.3">
      <c r="A530" t="s">
        <v>922</v>
      </c>
      <c r="B530" t="s">
        <v>102</v>
      </c>
      <c r="C530" t="s">
        <v>18</v>
      </c>
      <c r="D530">
        <v>10</v>
      </c>
      <c r="E530" t="s">
        <v>77</v>
      </c>
      <c r="F530" t="s">
        <v>78</v>
      </c>
    </row>
    <row r="531" spans="1:6" x14ac:dyDescent="0.3">
      <c r="A531" t="s">
        <v>923</v>
      </c>
      <c r="B531" t="s">
        <v>364</v>
      </c>
      <c r="C531" t="s">
        <v>64</v>
      </c>
      <c r="D531">
        <v>8</v>
      </c>
      <c r="E531" t="s">
        <v>91</v>
      </c>
      <c r="F531" t="s">
        <v>78</v>
      </c>
    </row>
    <row r="532" spans="1:6" x14ac:dyDescent="0.3">
      <c r="A532" t="s">
        <v>924</v>
      </c>
      <c r="B532" t="s">
        <v>668</v>
      </c>
      <c r="C532" t="s">
        <v>68</v>
      </c>
      <c r="D532">
        <v>2</v>
      </c>
      <c r="E532" t="s">
        <v>82</v>
      </c>
      <c r="F532" t="s">
        <v>92</v>
      </c>
    </row>
    <row r="533" spans="1:6" x14ac:dyDescent="0.3">
      <c r="A533" t="s">
        <v>925</v>
      </c>
      <c r="B533" t="s">
        <v>896</v>
      </c>
      <c r="C533" t="s">
        <v>54</v>
      </c>
      <c r="D533">
        <v>4</v>
      </c>
      <c r="E533" t="s">
        <v>77</v>
      </c>
      <c r="F533" t="s">
        <v>92</v>
      </c>
    </row>
    <row r="534" spans="1:6" x14ac:dyDescent="0.3">
      <c r="A534" t="s">
        <v>926</v>
      </c>
      <c r="B534" t="s">
        <v>720</v>
      </c>
      <c r="C534" t="s">
        <v>26</v>
      </c>
      <c r="D534">
        <v>10</v>
      </c>
      <c r="E534" t="s">
        <v>82</v>
      </c>
      <c r="F534" t="s">
        <v>83</v>
      </c>
    </row>
    <row r="535" spans="1:6" x14ac:dyDescent="0.3">
      <c r="A535" t="s">
        <v>927</v>
      </c>
      <c r="B535" t="s">
        <v>121</v>
      </c>
      <c r="C535" t="s">
        <v>10</v>
      </c>
      <c r="D535">
        <v>10</v>
      </c>
      <c r="E535" t="s">
        <v>86</v>
      </c>
      <c r="F535" t="s">
        <v>83</v>
      </c>
    </row>
    <row r="536" spans="1:6" x14ac:dyDescent="0.3">
      <c r="A536" t="s">
        <v>928</v>
      </c>
      <c r="B536" t="s">
        <v>555</v>
      </c>
      <c r="C536" t="s">
        <v>28</v>
      </c>
      <c r="D536">
        <v>7</v>
      </c>
      <c r="E536" t="s">
        <v>82</v>
      </c>
      <c r="F536" t="s">
        <v>92</v>
      </c>
    </row>
    <row r="537" spans="1:6" x14ac:dyDescent="0.3">
      <c r="A537" t="s">
        <v>929</v>
      </c>
      <c r="B537" t="s">
        <v>94</v>
      </c>
      <c r="C537" t="s">
        <v>35</v>
      </c>
      <c r="D537">
        <v>12</v>
      </c>
      <c r="E537" t="s">
        <v>91</v>
      </c>
      <c r="F537" t="s">
        <v>78</v>
      </c>
    </row>
    <row r="538" spans="1:6" x14ac:dyDescent="0.3">
      <c r="A538" t="s">
        <v>930</v>
      </c>
      <c r="B538" t="s">
        <v>873</v>
      </c>
      <c r="C538" t="s">
        <v>43</v>
      </c>
      <c r="D538">
        <v>7</v>
      </c>
      <c r="E538" t="s">
        <v>86</v>
      </c>
      <c r="F538" t="s">
        <v>78</v>
      </c>
    </row>
    <row r="539" spans="1:6" x14ac:dyDescent="0.3">
      <c r="A539" t="s">
        <v>931</v>
      </c>
      <c r="B539" t="s">
        <v>192</v>
      </c>
      <c r="C539" t="s">
        <v>105</v>
      </c>
      <c r="D539">
        <v>14</v>
      </c>
      <c r="E539" t="s">
        <v>77</v>
      </c>
      <c r="F539" t="s">
        <v>83</v>
      </c>
    </row>
    <row r="540" spans="1:6" x14ac:dyDescent="0.3">
      <c r="A540" t="s">
        <v>932</v>
      </c>
      <c r="B540" t="s">
        <v>933</v>
      </c>
      <c r="C540" t="s">
        <v>20</v>
      </c>
      <c r="D540">
        <v>6</v>
      </c>
      <c r="E540" t="s">
        <v>82</v>
      </c>
      <c r="F540" t="s">
        <v>92</v>
      </c>
    </row>
    <row r="541" spans="1:6" x14ac:dyDescent="0.3">
      <c r="A541" t="s">
        <v>934</v>
      </c>
      <c r="B541" t="s">
        <v>173</v>
      </c>
      <c r="C541" t="s">
        <v>52</v>
      </c>
      <c r="D541">
        <v>12</v>
      </c>
      <c r="E541" t="s">
        <v>91</v>
      </c>
      <c r="F541" t="s">
        <v>92</v>
      </c>
    </row>
    <row r="542" spans="1:6" x14ac:dyDescent="0.3">
      <c r="A542" t="s">
        <v>935</v>
      </c>
      <c r="B542" t="s">
        <v>936</v>
      </c>
      <c r="C542" t="s">
        <v>937</v>
      </c>
      <c r="D542">
        <v>10</v>
      </c>
      <c r="E542" t="s">
        <v>82</v>
      </c>
      <c r="F542" t="s">
        <v>92</v>
      </c>
    </row>
    <row r="543" spans="1:6" x14ac:dyDescent="0.3">
      <c r="A543" t="s">
        <v>938</v>
      </c>
      <c r="B543" t="s">
        <v>286</v>
      </c>
      <c r="C543" t="s">
        <v>20</v>
      </c>
      <c r="D543">
        <v>2</v>
      </c>
      <c r="E543" t="s">
        <v>77</v>
      </c>
      <c r="F543" t="s">
        <v>78</v>
      </c>
    </row>
    <row r="544" spans="1:6" x14ac:dyDescent="0.3">
      <c r="A544" t="s">
        <v>939</v>
      </c>
      <c r="B544" t="s">
        <v>585</v>
      </c>
      <c r="C544" t="s">
        <v>397</v>
      </c>
      <c r="D544">
        <v>14</v>
      </c>
      <c r="E544" t="s">
        <v>82</v>
      </c>
      <c r="F544" t="s">
        <v>92</v>
      </c>
    </row>
    <row r="545" spans="1:6" x14ac:dyDescent="0.3">
      <c r="A545" t="s">
        <v>940</v>
      </c>
      <c r="B545" t="s">
        <v>526</v>
      </c>
      <c r="C545" t="s">
        <v>39</v>
      </c>
      <c r="D545">
        <v>12</v>
      </c>
      <c r="E545" t="s">
        <v>82</v>
      </c>
      <c r="F545" t="s">
        <v>92</v>
      </c>
    </row>
    <row r="546" spans="1:6" x14ac:dyDescent="0.3">
      <c r="A546" t="s">
        <v>941</v>
      </c>
      <c r="B546" t="s">
        <v>436</v>
      </c>
      <c r="C546" t="s">
        <v>16</v>
      </c>
      <c r="D546">
        <v>13</v>
      </c>
      <c r="E546" t="s">
        <v>82</v>
      </c>
      <c r="F546" t="s">
        <v>83</v>
      </c>
    </row>
    <row r="547" spans="1:6" x14ac:dyDescent="0.3">
      <c r="A547" t="s">
        <v>942</v>
      </c>
      <c r="B547" t="s">
        <v>943</v>
      </c>
      <c r="C547" t="s">
        <v>24</v>
      </c>
      <c r="D547">
        <v>8</v>
      </c>
      <c r="E547" t="s">
        <v>77</v>
      </c>
      <c r="F547" t="s">
        <v>78</v>
      </c>
    </row>
    <row r="548" spans="1:6" x14ac:dyDescent="0.3">
      <c r="A548" t="s">
        <v>944</v>
      </c>
      <c r="B548" t="s">
        <v>945</v>
      </c>
      <c r="C548" t="s">
        <v>946</v>
      </c>
      <c r="D548">
        <v>9</v>
      </c>
      <c r="E548" t="s">
        <v>82</v>
      </c>
      <c r="F548" t="s">
        <v>78</v>
      </c>
    </row>
    <row r="549" spans="1:6" x14ac:dyDescent="0.3">
      <c r="A549" t="s">
        <v>947</v>
      </c>
      <c r="B549" t="s">
        <v>948</v>
      </c>
      <c r="C549" t="s">
        <v>39</v>
      </c>
      <c r="D549">
        <v>2</v>
      </c>
      <c r="E549" t="s">
        <v>86</v>
      </c>
      <c r="F549" t="s">
        <v>78</v>
      </c>
    </row>
    <row r="550" spans="1:6" x14ac:dyDescent="0.3">
      <c r="A550" t="s">
        <v>949</v>
      </c>
      <c r="B550" t="s">
        <v>815</v>
      </c>
      <c r="C550" t="s">
        <v>20</v>
      </c>
      <c r="D550">
        <v>12</v>
      </c>
      <c r="E550" t="s">
        <v>91</v>
      </c>
      <c r="F550" t="s">
        <v>83</v>
      </c>
    </row>
    <row r="551" spans="1:6" x14ac:dyDescent="0.3">
      <c r="A551" t="s">
        <v>950</v>
      </c>
      <c r="B551" t="s">
        <v>326</v>
      </c>
      <c r="C551" t="s">
        <v>31</v>
      </c>
      <c r="D551">
        <v>9</v>
      </c>
      <c r="E551" t="s">
        <v>77</v>
      </c>
      <c r="F551" t="s">
        <v>83</v>
      </c>
    </row>
    <row r="552" spans="1:6" x14ac:dyDescent="0.3">
      <c r="A552" t="s">
        <v>951</v>
      </c>
      <c r="B552" t="s">
        <v>610</v>
      </c>
      <c r="C552" t="s">
        <v>35</v>
      </c>
      <c r="D552">
        <v>2</v>
      </c>
      <c r="E552" t="s">
        <v>82</v>
      </c>
      <c r="F552" t="s">
        <v>78</v>
      </c>
    </row>
    <row r="553" spans="1:6" x14ac:dyDescent="0.3">
      <c r="A553" t="s">
        <v>952</v>
      </c>
      <c r="B553" t="s">
        <v>130</v>
      </c>
      <c r="C553" t="s">
        <v>12</v>
      </c>
      <c r="D553">
        <v>2</v>
      </c>
      <c r="E553" t="s">
        <v>91</v>
      </c>
      <c r="F553" t="s">
        <v>78</v>
      </c>
    </row>
    <row r="554" spans="1:6" x14ac:dyDescent="0.3">
      <c r="A554" t="s">
        <v>953</v>
      </c>
      <c r="B554" t="s">
        <v>954</v>
      </c>
      <c r="C554" t="s">
        <v>49</v>
      </c>
      <c r="D554">
        <v>13</v>
      </c>
      <c r="E554" t="s">
        <v>82</v>
      </c>
      <c r="F554" t="s">
        <v>78</v>
      </c>
    </row>
    <row r="555" spans="1:6" x14ac:dyDescent="0.3">
      <c r="A555" t="s">
        <v>955</v>
      </c>
      <c r="B555" t="s">
        <v>196</v>
      </c>
      <c r="C555" t="s">
        <v>60</v>
      </c>
      <c r="D555">
        <v>10</v>
      </c>
      <c r="E555" t="s">
        <v>82</v>
      </c>
      <c r="F555" t="s">
        <v>78</v>
      </c>
    </row>
    <row r="556" spans="1:6" x14ac:dyDescent="0.3">
      <c r="A556" t="s">
        <v>956</v>
      </c>
      <c r="B556" t="s">
        <v>370</v>
      </c>
      <c r="C556" t="s">
        <v>49</v>
      </c>
      <c r="D556">
        <v>13</v>
      </c>
      <c r="E556" t="s">
        <v>91</v>
      </c>
      <c r="F556" t="s">
        <v>83</v>
      </c>
    </row>
    <row r="557" spans="1:6" x14ac:dyDescent="0.3">
      <c r="A557" t="s">
        <v>957</v>
      </c>
      <c r="B557" t="s">
        <v>715</v>
      </c>
      <c r="C557" t="s">
        <v>26</v>
      </c>
      <c r="D557">
        <v>2</v>
      </c>
      <c r="E557" t="s">
        <v>77</v>
      </c>
      <c r="F557" t="s">
        <v>83</v>
      </c>
    </row>
    <row r="558" spans="1:6" x14ac:dyDescent="0.3">
      <c r="A558" t="s">
        <v>958</v>
      </c>
      <c r="B558" t="s">
        <v>296</v>
      </c>
      <c r="C558" t="s">
        <v>12</v>
      </c>
      <c r="D558">
        <v>11</v>
      </c>
      <c r="E558" t="s">
        <v>91</v>
      </c>
      <c r="F558" t="s">
        <v>83</v>
      </c>
    </row>
    <row r="559" spans="1:6" x14ac:dyDescent="0.3">
      <c r="A559" t="s">
        <v>959</v>
      </c>
      <c r="B559" t="s">
        <v>647</v>
      </c>
      <c r="C559" t="s">
        <v>16</v>
      </c>
      <c r="D559">
        <v>3</v>
      </c>
      <c r="E559" t="s">
        <v>91</v>
      </c>
      <c r="F559" t="s">
        <v>92</v>
      </c>
    </row>
    <row r="560" spans="1:6" x14ac:dyDescent="0.3">
      <c r="A560" t="s">
        <v>960</v>
      </c>
      <c r="B560" t="s">
        <v>864</v>
      </c>
      <c r="C560" t="s">
        <v>756</v>
      </c>
      <c r="D560">
        <v>13</v>
      </c>
      <c r="E560" t="s">
        <v>82</v>
      </c>
      <c r="F560" t="s">
        <v>92</v>
      </c>
    </row>
    <row r="561" spans="1:6" x14ac:dyDescent="0.3">
      <c r="A561" t="s">
        <v>961</v>
      </c>
      <c r="B561" t="s">
        <v>962</v>
      </c>
      <c r="C561" t="s">
        <v>60</v>
      </c>
      <c r="D561">
        <v>3</v>
      </c>
      <c r="E561" t="s">
        <v>77</v>
      </c>
      <c r="F561" t="s">
        <v>83</v>
      </c>
    </row>
    <row r="562" spans="1:6" x14ac:dyDescent="0.3">
      <c r="A562" t="s">
        <v>963</v>
      </c>
      <c r="B562" t="s">
        <v>748</v>
      </c>
      <c r="C562" t="s">
        <v>16</v>
      </c>
      <c r="D562">
        <v>6</v>
      </c>
      <c r="E562" t="s">
        <v>82</v>
      </c>
      <c r="F562" t="s">
        <v>78</v>
      </c>
    </row>
    <row r="563" spans="1:6" x14ac:dyDescent="0.3">
      <c r="A563" t="s">
        <v>964</v>
      </c>
      <c r="B563" t="s">
        <v>338</v>
      </c>
      <c r="C563" t="s">
        <v>7</v>
      </c>
      <c r="D563">
        <v>4</v>
      </c>
      <c r="E563" t="s">
        <v>77</v>
      </c>
      <c r="F563" t="s">
        <v>78</v>
      </c>
    </row>
    <row r="564" spans="1:6" x14ac:dyDescent="0.3">
      <c r="A564" t="s">
        <v>965</v>
      </c>
      <c r="B564" t="s">
        <v>966</v>
      </c>
      <c r="C564" t="s">
        <v>16</v>
      </c>
      <c r="D564">
        <v>12</v>
      </c>
      <c r="E564" t="s">
        <v>77</v>
      </c>
      <c r="F564" t="s">
        <v>83</v>
      </c>
    </row>
    <row r="565" spans="1:6" x14ac:dyDescent="0.3">
      <c r="A565" t="s">
        <v>967</v>
      </c>
      <c r="B565" t="s">
        <v>344</v>
      </c>
      <c r="C565" t="s">
        <v>68</v>
      </c>
      <c r="D565">
        <v>5</v>
      </c>
      <c r="E565" t="s">
        <v>82</v>
      </c>
      <c r="F565" t="s">
        <v>92</v>
      </c>
    </row>
    <row r="566" spans="1:6" x14ac:dyDescent="0.3">
      <c r="A566" t="s">
        <v>968</v>
      </c>
      <c r="B566" t="s">
        <v>309</v>
      </c>
      <c r="C566" t="s">
        <v>463</v>
      </c>
      <c r="D566">
        <v>4</v>
      </c>
      <c r="E566" t="s">
        <v>82</v>
      </c>
      <c r="F566" t="s">
        <v>92</v>
      </c>
    </row>
    <row r="567" spans="1:6" x14ac:dyDescent="0.3">
      <c r="A567" t="s">
        <v>969</v>
      </c>
      <c r="B567" t="s">
        <v>585</v>
      </c>
      <c r="C567" t="s">
        <v>871</v>
      </c>
      <c r="D567">
        <v>6</v>
      </c>
      <c r="E567" t="s">
        <v>91</v>
      </c>
      <c r="F567" t="s">
        <v>92</v>
      </c>
    </row>
    <row r="568" spans="1:6" x14ac:dyDescent="0.3">
      <c r="A568" t="s">
        <v>970</v>
      </c>
      <c r="B568" t="s">
        <v>205</v>
      </c>
      <c r="C568" t="s">
        <v>54</v>
      </c>
      <c r="D568">
        <v>8</v>
      </c>
      <c r="E568" t="s">
        <v>86</v>
      </c>
      <c r="F568" t="s">
        <v>83</v>
      </c>
    </row>
    <row r="569" spans="1:6" x14ac:dyDescent="0.3">
      <c r="A569" t="s">
        <v>971</v>
      </c>
      <c r="B569" t="s">
        <v>236</v>
      </c>
      <c r="C569" t="s">
        <v>7</v>
      </c>
      <c r="D569">
        <v>8</v>
      </c>
      <c r="E569" t="s">
        <v>82</v>
      </c>
      <c r="F569" t="s">
        <v>92</v>
      </c>
    </row>
    <row r="570" spans="1:6" x14ac:dyDescent="0.3">
      <c r="A570" t="s">
        <v>972</v>
      </c>
      <c r="B570" t="s">
        <v>372</v>
      </c>
      <c r="C570" t="s">
        <v>47</v>
      </c>
      <c r="D570">
        <v>6</v>
      </c>
      <c r="E570" t="s">
        <v>86</v>
      </c>
      <c r="F570" t="s">
        <v>83</v>
      </c>
    </row>
    <row r="571" spans="1:6" x14ac:dyDescent="0.3">
      <c r="A571" t="s">
        <v>973</v>
      </c>
      <c r="B571" t="s">
        <v>469</v>
      </c>
      <c r="C571" t="s">
        <v>52</v>
      </c>
      <c r="D571">
        <v>4</v>
      </c>
      <c r="E571" t="s">
        <v>77</v>
      </c>
      <c r="F571" t="s">
        <v>92</v>
      </c>
    </row>
    <row r="572" spans="1:6" x14ac:dyDescent="0.3">
      <c r="A572" t="s">
        <v>974</v>
      </c>
      <c r="B572" t="s">
        <v>641</v>
      </c>
      <c r="C572" t="s">
        <v>31</v>
      </c>
      <c r="D572">
        <v>4</v>
      </c>
      <c r="E572" t="s">
        <v>82</v>
      </c>
      <c r="F572" t="s">
        <v>92</v>
      </c>
    </row>
    <row r="573" spans="1:6" x14ac:dyDescent="0.3">
      <c r="A573" t="s">
        <v>975</v>
      </c>
      <c r="B573" t="s">
        <v>896</v>
      </c>
      <c r="C573" t="s">
        <v>49</v>
      </c>
      <c r="D573">
        <v>6</v>
      </c>
      <c r="E573" t="s">
        <v>82</v>
      </c>
      <c r="F573" t="s">
        <v>92</v>
      </c>
    </row>
    <row r="574" spans="1:6" x14ac:dyDescent="0.3">
      <c r="A574" t="s">
        <v>976</v>
      </c>
      <c r="B574" t="s">
        <v>201</v>
      </c>
      <c r="C574" t="s">
        <v>12</v>
      </c>
      <c r="D574">
        <v>13</v>
      </c>
      <c r="E574" t="s">
        <v>91</v>
      </c>
      <c r="F574" t="s">
        <v>92</v>
      </c>
    </row>
    <row r="575" spans="1:6" x14ac:dyDescent="0.3">
      <c r="A575" t="s">
        <v>977</v>
      </c>
      <c r="B575" t="s">
        <v>899</v>
      </c>
      <c r="C575" t="s">
        <v>35</v>
      </c>
      <c r="D575">
        <v>10</v>
      </c>
      <c r="E575" t="s">
        <v>77</v>
      </c>
      <c r="F575" t="s">
        <v>92</v>
      </c>
    </row>
    <row r="576" spans="1:6" x14ac:dyDescent="0.3">
      <c r="A576" t="s">
        <v>978</v>
      </c>
      <c r="B576" t="s">
        <v>979</v>
      </c>
      <c r="C576" t="s">
        <v>28</v>
      </c>
      <c r="D576">
        <v>10</v>
      </c>
      <c r="E576" t="s">
        <v>82</v>
      </c>
      <c r="F576" t="s">
        <v>83</v>
      </c>
    </row>
    <row r="577" spans="1:6" x14ac:dyDescent="0.3">
      <c r="A577" t="s">
        <v>980</v>
      </c>
      <c r="B577" t="s">
        <v>444</v>
      </c>
      <c r="C577" t="s">
        <v>54</v>
      </c>
      <c r="D577">
        <v>7</v>
      </c>
      <c r="E577" t="s">
        <v>77</v>
      </c>
      <c r="F577" t="s">
        <v>78</v>
      </c>
    </row>
    <row r="578" spans="1:6" x14ac:dyDescent="0.3">
      <c r="A578" t="s">
        <v>981</v>
      </c>
      <c r="B578" t="s">
        <v>668</v>
      </c>
      <c r="C578" t="s">
        <v>105</v>
      </c>
      <c r="D578">
        <v>11</v>
      </c>
      <c r="E578" t="s">
        <v>91</v>
      </c>
      <c r="F578" t="s">
        <v>83</v>
      </c>
    </row>
    <row r="579" spans="1:6" x14ac:dyDescent="0.3">
      <c r="A579" t="s">
        <v>982</v>
      </c>
      <c r="B579" t="s">
        <v>100</v>
      </c>
      <c r="C579" t="s">
        <v>35</v>
      </c>
      <c r="D579">
        <v>14</v>
      </c>
      <c r="E579" t="s">
        <v>77</v>
      </c>
      <c r="F579" t="s">
        <v>92</v>
      </c>
    </row>
    <row r="580" spans="1:6" x14ac:dyDescent="0.3">
      <c r="A580" t="s">
        <v>983</v>
      </c>
      <c r="B580" t="s">
        <v>286</v>
      </c>
      <c r="C580" t="s">
        <v>119</v>
      </c>
      <c r="D580">
        <v>6</v>
      </c>
      <c r="E580" t="s">
        <v>77</v>
      </c>
      <c r="F580" t="s">
        <v>83</v>
      </c>
    </row>
    <row r="581" spans="1:6" x14ac:dyDescent="0.3">
      <c r="A581" t="s">
        <v>984</v>
      </c>
      <c r="B581" t="s">
        <v>562</v>
      </c>
      <c r="C581" t="s">
        <v>68</v>
      </c>
      <c r="D581">
        <v>14</v>
      </c>
      <c r="E581" t="s">
        <v>91</v>
      </c>
      <c r="F581" t="s">
        <v>83</v>
      </c>
    </row>
    <row r="582" spans="1:6" x14ac:dyDescent="0.3">
      <c r="A582" t="s">
        <v>985</v>
      </c>
      <c r="B582" t="s">
        <v>846</v>
      </c>
      <c r="C582" t="s">
        <v>683</v>
      </c>
      <c r="D582">
        <v>3</v>
      </c>
      <c r="E582" t="s">
        <v>86</v>
      </c>
      <c r="F582" t="s">
        <v>78</v>
      </c>
    </row>
    <row r="583" spans="1:6" x14ac:dyDescent="0.3">
      <c r="A583" t="s">
        <v>986</v>
      </c>
      <c r="B583" t="s">
        <v>668</v>
      </c>
      <c r="C583" t="s">
        <v>54</v>
      </c>
      <c r="D583">
        <v>6</v>
      </c>
      <c r="E583" t="s">
        <v>77</v>
      </c>
      <c r="F583" t="s">
        <v>78</v>
      </c>
    </row>
    <row r="584" spans="1:6" x14ac:dyDescent="0.3">
      <c r="A584" t="s">
        <v>987</v>
      </c>
      <c r="B584" t="s">
        <v>988</v>
      </c>
      <c r="C584" t="s">
        <v>28</v>
      </c>
      <c r="D584">
        <v>9</v>
      </c>
      <c r="E584" t="s">
        <v>77</v>
      </c>
      <c r="F584" t="s">
        <v>83</v>
      </c>
    </row>
    <row r="585" spans="1:6" x14ac:dyDescent="0.3">
      <c r="A585" t="s">
        <v>989</v>
      </c>
      <c r="B585" t="s">
        <v>406</v>
      </c>
      <c r="C585" t="s">
        <v>64</v>
      </c>
      <c r="D585">
        <v>2</v>
      </c>
      <c r="E585" t="s">
        <v>91</v>
      </c>
      <c r="F585" t="s">
        <v>92</v>
      </c>
    </row>
    <row r="586" spans="1:6" x14ac:dyDescent="0.3">
      <c r="A586" t="s">
        <v>990</v>
      </c>
      <c r="B586" t="s">
        <v>175</v>
      </c>
      <c r="C586" t="s">
        <v>66</v>
      </c>
      <c r="D586">
        <v>2</v>
      </c>
      <c r="E586" t="s">
        <v>82</v>
      </c>
      <c r="F586" t="s">
        <v>92</v>
      </c>
    </row>
    <row r="587" spans="1:6" x14ac:dyDescent="0.3">
      <c r="A587" t="s">
        <v>991</v>
      </c>
      <c r="B587" t="s">
        <v>408</v>
      </c>
      <c r="C587" t="s">
        <v>20</v>
      </c>
      <c r="D587">
        <v>6</v>
      </c>
      <c r="E587" t="s">
        <v>91</v>
      </c>
      <c r="F587" t="s">
        <v>92</v>
      </c>
    </row>
    <row r="588" spans="1:6" x14ac:dyDescent="0.3">
      <c r="A588" t="s">
        <v>992</v>
      </c>
      <c r="B588" t="s">
        <v>663</v>
      </c>
      <c r="C588" t="s">
        <v>64</v>
      </c>
      <c r="D588">
        <v>10</v>
      </c>
      <c r="E588" t="s">
        <v>77</v>
      </c>
      <c r="F588" t="s">
        <v>78</v>
      </c>
    </row>
    <row r="589" spans="1:6" x14ac:dyDescent="0.3">
      <c r="A589" t="s">
        <v>993</v>
      </c>
      <c r="B589" t="s">
        <v>512</v>
      </c>
      <c r="C589" t="s">
        <v>54</v>
      </c>
      <c r="D589">
        <v>6</v>
      </c>
      <c r="E589" t="s">
        <v>91</v>
      </c>
      <c r="F589" t="s">
        <v>83</v>
      </c>
    </row>
    <row r="590" spans="1:6" x14ac:dyDescent="0.3">
      <c r="A590" t="s">
        <v>994</v>
      </c>
      <c r="B590" t="s">
        <v>322</v>
      </c>
      <c r="C590" t="s">
        <v>43</v>
      </c>
      <c r="D590">
        <v>7</v>
      </c>
      <c r="E590" t="s">
        <v>82</v>
      </c>
      <c r="F590" t="s">
        <v>83</v>
      </c>
    </row>
    <row r="591" spans="1:6" x14ac:dyDescent="0.3">
      <c r="A591" t="s">
        <v>995</v>
      </c>
      <c r="B591" t="s">
        <v>996</v>
      </c>
      <c r="C591" t="s">
        <v>37</v>
      </c>
      <c r="D591">
        <v>12</v>
      </c>
      <c r="E591" t="s">
        <v>86</v>
      </c>
      <c r="F591" t="s">
        <v>78</v>
      </c>
    </row>
    <row r="592" spans="1:6" x14ac:dyDescent="0.3">
      <c r="A592" t="s">
        <v>997</v>
      </c>
      <c r="B592" t="s">
        <v>218</v>
      </c>
      <c r="C592" t="s">
        <v>16</v>
      </c>
      <c r="D592">
        <v>12</v>
      </c>
      <c r="E592" t="s">
        <v>91</v>
      </c>
      <c r="F592" t="s">
        <v>83</v>
      </c>
    </row>
    <row r="593" spans="1:6" x14ac:dyDescent="0.3">
      <c r="A593" t="s">
        <v>998</v>
      </c>
      <c r="B593" t="s">
        <v>439</v>
      </c>
      <c r="C593" t="s">
        <v>284</v>
      </c>
      <c r="D593">
        <v>1</v>
      </c>
      <c r="E593" t="s">
        <v>77</v>
      </c>
      <c r="F593" t="s">
        <v>78</v>
      </c>
    </row>
    <row r="594" spans="1:6" x14ac:dyDescent="0.3">
      <c r="A594" t="s">
        <v>999</v>
      </c>
      <c r="B594" t="s">
        <v>1000</v>
      </c>
      <c r="C594" t="s">
        <v>47</v>
      </c>
      <c r="D594">
        <v>10</v>
      </c>
      <c r="E594" t="s">
        <v>91</v>
      </c>
      <c r="F594" t="s">
        <v>78</v>
      </c>
    </row>
    <row r="595" spans="1:6" x14ac:dyDescent="0.3">
      <c r="A595" t="s">
        <v>1001</v>
      </c>
      <c r="B595" t="s">
        <v>515</v>
      </c>
      <c r="C595" t="s">
        <v>39</v>
      </c>
      <c r="D595">
        <v>10</v>
      </c>
      <c r="E595" t="s">
        <v>91</v>
      </c>
      <c r="F595" t="s">
        <v>83</v>
      </c>
    </row>
    <row r="596" spans="1:6" x14ac:dyDescent="0.3">
      <c r="A596" t="s">
        <v>1002</v>
      </c>
      <c r="B596" t="s">
        <v>666</v>
      </c>
      <c r="C596" t="s">
        <v>39</v>
      </c>
      <c r="D596">
        <v>10</v>
      </c>
      <c r="E596" t="s">
        <v>91</v>
      </c>
      <c r="F596" t="s">
        <v>92</v>
      </c>
    </row>
    <row r="597" spans="1:6" x14ac:dyDescent="0.3">
      <c r="A597" t="s">
        <v>1003</v>
      </c>
      <c r="B597" t="s">
        <v>1004</v>
      </c>
      <c r="C597" t="s">
        <v>47</v>
      </c>
      <c r="D597">
        <v>10</v>
      </c>
      <c r="E597" t="s">
        <v>82</v>
      </c>
      <c r="F597" t="s">
        <v>92</v>
      </c>
    </row>
    <row r="598" spans="1:6" x14ac:dyDescent="0.3">
      <c r="A598" t="s">
        <v>1005</v>
      </c>
      <c r="B598" t="s">
        <v>658</v>
      </c>
      <c r="C598" t="s">
        <v>24</v>
      </c>
      <c r="D598">
        <v>4</v>
      </c>
      <c r="E598" t="s">
        <v>82</v>
      </c>
      <c r="F598" t="s">
        <v>83</v>
      </c>
    </row>
    <row r="599" spans="1:6" x14ac:dyDescent="0.3">
      <c r="A599" t="s">
        <v>1006</v>
      </c>
      <c r="B599" t="s">
        <v>232</v>
      </c>
      <c r="C599" t="s">
        <v>49</v>
      </c>
      <c r="D599">
        <v>5</v>
      </c>
      <c r="E599" t="s">
        <v>77</v>
      </c>
      <c r="F599" t="s">
        <v>83</v>
      </c>
    </row>
    <row r="600" spans="1:6" x14ac:dyDescent="0.3">
      <c r="A600" t="s">
        <v>1007</v>
      </c>
      <c r="B600" t="s">
        <v>1008</v>
      </c>
      <c r="C600" t="s">
        <v>54</v>
      </c>
      <c r="D600">
        <v>9</v>
      </c>
      <c r="E600" t="s">
        <v>91</v>
      </c>
      <c r="F600" t="s">
        <v>78</v>
      </c>
    </row>
    <row r="601" spans="1:6" x14ac:dyDescent="0.3">
      <c r="A601" t="s">
        <v>1009</v>
      </c>
      <c r="B601" t="s">
        <v>1010</v>
      </c>
      <c r="C601" t="s">
        <v>165</v>
      </c>
      <c r="D601">
        <v>10</v>
      </c>
      <c r="E601" t="s">
        <v>77</v>
      </c>
      <c r="F601" t="s">
        <v>92</v>
      </c>
    </row>
    <row r="602" spans="1:6" x14ac:dyDescent="0.3">
      <c r="A602" t="s">
        <v>1011</v>
      </c>
      <c r="B602" t="s">
        <v>1012</v>
      </c>
      <c r="C602" t="s">
        <v>16</v>
      </c>
      <c r="D602">
        <v>14</v>
      </c>
      <c r="E602" t="s">
        <v>86</v>
      </c>
      <c r="F602" t="s">
        <v>92</v>
      </c>
    </row>
    <row r="603" spans="1:6" x14ac:dyDescent="0.3">
      <c r="A603" t="s">
        <v>1013</v>
      </c>
      <c r="B603" t="s">
        <v>1014</v>
      </c>
      <c r="C603" t="s">
        <v>28</v>
      </c>
      <c r="D603">
        <v>5</v>
      </c>
      <c r="E603" t="s">
        <v>77</v>
      </c>
      <c r="F603" t="s">
        <v>83</v>
      </c>
    </row>
    <row r="604" spans="1:6" x14ac:dyDescent="0.3">
      <c r="A604" t="s">
        <v>1015</v>
      </c>
      <c r="B604" t="s">
        <v>384</v>
      </c>
      <c r="C604" t="s">
        <v>31</v>
      </c>
      <c r="D604">
        <v>6</v>
      </c>
      <c r="E604" t="s">
        <v>82</v>
      </c>
      <c r="F604" t="s">
        <v>83</v>
      </c>
    </row>
    <row r="605" spans="1:6" x14ac:dyDescent="0.3">
      <c r="A605" t="s">
        <v>1016</v>
      </c>
      <c r="B605" t="s">
        <v>452</v>
      </c>
      <c r="C605" t="s">
        <v>66</v>
      </c>
      <c r="D605">
        <v>2</v>
      </c>
      <c r="E605" t="s">
        <v>82</v>
      </c>
      <c r="F605" t="s">
        <v>92</v>
      </c>
    </row>
    <row r="606" spans="1:6" x14ac:dyDescent="0.3">
      <c r="A606" t="s">
        <v>1017</v>
      </c>
      <c r="B606" t="s">
        <v>1018</v>
      </c>
      <c r="C606" t="s">
        <v>35</v>
      </c>
      <c r="D606">
        <v>14</v>
      </c>
      <c r="E606" t="s">
        <v>77</v>
      </c>
      <c r="F606" t="s">
        <v>83</v>
      </c>
    </row>
    <row r="607" spans="1:6" x14ac:dyDescent="0.3">
      <c r="A607" t="s">
        <v>1019</v>
      </c>
      <c r="B607" t="s">
        <v>243</v>
      </c>
      <c r="C607" t="s">
        <v>64</v>
      </c>
      <c r="D607">
        <v>14</v>
      </c>
      <c r="E607" t="s">
        <v>82</v>
      </c>
      <c r="F607" t="s">
        <v>83</v>
      </c>
    </row>
    <row r="608" spans="1:6" x14ac:dyDescent="0.3">
      <c r="A608" t="s">
        <v>1020</v>
      </c>
      <c r="B608" t="s">
        <v>1021</v>
      </c>
      <c r="C608" t="s">
        <v>43</v>
      </c>
      <c r="D608">
        <v>6</v>
      </c>
      <c r="E608" t="s">
        <v>86</v>
      </c>
      <c r="F608" t="s">
        <v>92</v>
      </c>
    </row>
    <row r="609" spans="1:6" x14ac:dyDescent="0.3">
      <c r="A609" t="s">
        <v>1022</v>
      </c>
      <c r="B609" t="s">
        <v>147</v>
      </c>
      <c r="C609" t="s">
        <v>39</v>
      </c>
      <c r="D609">
        <v>12</v>
      </c>
      <c r="E609" t="s">
        <v>91</v>
      </c>
      <c r="F609" t="s">
        <v>83</v>
      </c>
    </row>
    <row r="610" spans="1:6" x14ac:dyDescent="0.3">
      <c r="A610" t="s">
        <v>1023</v>
      </c>
      <c r="B610" t="s">
        <v>1024</v>
      </c>
      <c r="C610" t="s">
        <v>26</v>
      </c>
      <c r="D610">
        <v>3</v>
      </c>
      <c r="E610" t="s">
        <v>82</v>
      </c>
      <c r="F610" t="s">
        <v>83</v>
      </c>
    </row>
    <row r="611" spans="1:6" x14ac:dyDescent="0.3">
      <c r="A611" t="s">
        <v>1025</v>
      </c>
      <c r="B611" t="s">
        <v>250</v>
      </c>
      <c r="C611" t="s">
        <v>52</v>
      </c>
      <c r="D611">
        <v>11</v>
      </c>
      <c r="E611" t="s">
        <v>91</v>
      </c>
      <c r="F611" t="s">
        <v>83</v>
      </c>
    </row>
    <row r="612" spans="1:6" x14ac:dyDescent="0.3">
      <c r="A612" t="s">
        <v>1026</v>
      </c>
      <c r="B612" t="s">
        <v>1027</v>
      </c>
      <c r="C612" t="s">
        <v>49</v>
      </c>
      <c r="D612">
        <v>3</v>
      </c>
      <c r="E612" t="s">
        <v>86</v>
      </c>
      <c r="F612" t="s">
        <v>78</v>
      </c>
    </row>
    <row r="613" spans="1:6" x14ac:dyDescent="0.3">
      <c r="A613" t="s">
        <v>1028</v>
      </c>
      <c r="B613" t="s">
        <v>515</v>
      </c>
      <c r="C613" t="s">
        <v>47</v>
      </c>
      <c r="D613">
        <v>13</v>
      </c>
      <c r="E613" t="s">
        <v>77</v>
      </c>
      <c r="F613" t="s">
        <v>92</v>
      </c>
    </row>
    <row r="614" spans="1:6" x14ac:dyDescent="0.3">
      <c r="A614" t="s">
        <v>1029</v>
      </c>
      <c r="B614" t="s">
        <v>192</v>
      </c>
      <c r="C614" t="s">
        <v>43</v>
      </c>
      <c r="D614">
        <v>9</v>
      </c>
      <c r="E614" t="s">
        <v>77</v>
      </c>
      <c r="F614" t="s">
        <v>78</v>
      </c>
    </row>
    <row r="615" spans="1:6" x14ac:dyDescent="0.3">
      <c r="A615" t="s">
        <v>1030</v>
      </c>
      <c r="B615" t="s">
        <v>585</v>
      </c>
      <c r="C615" t="s">
        <v>66</v>
      </c>
      <c r="D615">
        <v>14</v>
      </c>
      <c r="E615" t="s">
        <v>91</v>
      </c>
      <c r="F615" t="s">
        <v>83</v>
      </c>
    </row>
    <row r="616" spans="1:6" x14ac:dyDescent="0.3">
      <c r="A616" t="s">
        <v>1031</v>
      </c>
      <c r="B616" t="s">
        <v>755</v>
      </c>
      <c r="C616" t="s">
        <v>588</v>
      </c>
      <c r="D616">
        <v>13</v>
      </c>
      <c r="E616" t="s">
        <v>86</v>
      </c>
      <c r="F616" t="s">
        <v>78</v>
      </c>
    </row>
    <row r="617" spans="1:6" x14ac:dyDescent="0.3">
      <c r="A617" t="s">
        <v>1032</v>
      </c>
      <c r="B617" t="s">
        <v>1033</v>
      </c>
      <c r="C617" t="s">
        <v>165</v>
      </c>
      <c r="D617">
        <v>12</v>
      </c>
      <c r="E617" t="s">
        <v>86</v>
      </c>
      <c r="F617" t="s">
        <v>92</v>
      </c>
    </row>
    <row r="618" spans="1:6" x14ac:dyDescent="0.3">
      <c r="A618" t="s">
        <v>1034</v>
      </c>
      <c r="B618" t="s">
        <v>1035</v>
      </c>
      <c r="C618" t="s">
        <v>43</v>
      </c>
      <c r="D618">
        <v>5</v>
      </c>
      <c r="E618" t="s">
        <v>91</v>
      </c>
      <c r="F618" t="s">
        <v>92</v>
      </c>
    </row>
    <row r="619" spans="1:6" x14ac:dyDescent="0.3">
      <c r="A619" t="s">
        <v>1036</v>
      </c>
      <c r="B619" t="s">
        <v>1037</v>
      </c>
      <c r="C619" t="s">
        <v>26</v>
      </c>
      <c r="D619">
        <v>1</v>
      </c>
      <c r="E619" t="s">
        <v>91</v>
      </c>
      <c r="F619" t="s">
        <v>83</v>
      </c>
    </row>
    <row r="620" spans="1:6" x14ac:dyDescent="0.3">
      <c r="A620" t="s">
        <v>1038</v>
      </c>
      <c r="B620" t="s">
        <v>90</v>
      </c>
      <c r="C620" t="s">
        <v>28</v>
      </c>
      <c r="D620">
        <v>13</v>
      </c>
      <c r="E620" t="s">
        <v>82</v>
      </c>
      <c r="F620" t="s">
        <v>78</v>
      </c>
    </row>
    <row r="621" spans="1:6" x14ac:dyDescent="0.3">
      <c r="A621" t="s">
        <v>1039</v>
      </c>
      <c r="B621" t="s">
        <v>1040</v>
      </c>
      <c r="C621" t="s">
        <v>43</v>
      </c>
      <c r="D621">
        <v>11</v>
      </c>
      <c r="E621" t="s">
        <v>77</v>
      </c>
      <c r="F621" t="s">
        <v>83</v>
      </c>
    </row>
    <row r="622" spans="1:6" x14ac:dyDescent="0.3">
      <c r="A622" t="s">
        <v>1041</v>
      </c>
      <c r="B622" t="s">
        <v>873</v>
      </c>
      <c r="C622" t="s">
        <v>12</v>
      </c>
      <c r="D622">
        <v>14</v>
      </c>
      <c r="E622" t="s">
        <v>86</v>
      </c>
      <c r="F622" t="s">
        <v>78</v>
      </c>
    </row>
    <row r="623" spans="1:6" x14ac:dyDescent="0.3">
      <c r="A623" t="s">
        <v>1042</v>
      </c>
      <c r="B623" t="s">
        <v>149</v>
      </c>
      <c r="C623" t="s">
        <v>58</v>
      </c>
      <c r="D623">
        <v>5</v>
      </c>
      <c r="E623" t="s">
        <v>77</v>
      </c>
      <c r="F623" t="s">
        <v>92</v>
      </c>
    </row>
    <row r="624" spans="1:6" x14ac:dyDescent="0.3">
      <c r="A624" t="s">
        <v>1043</v>
      </c>
      <c r="B624" t="s">
        <v>1044</v>
      </c>
      <c r="C624" t="s">
        <v>41</v>
      </c>
      <c r="D624">
        <v>10</v>
      </c>
      <c r="E624" t="s">
        <v>91</v>
      </c>
      <c r="F624" t="s">
        <v>92</v>
      </c>
    </row>
    <row r="625" spans="1:6" x14ac:dyDescent="0.3">
      <c r="A625" t="s">
        <v>1045</v>
      </c>
      <c r="B625" t="s">
        <v>379</v>
      </c>
      <c r="C625" t="s">
        <v>35</v>
      </c>
      <c r="D625">
        <v>12</v>
      </c>
      <c r="E625" t="s">
        <v>86</v>
      </c>
      <c r="F625" t="s">
        <v>92</v>
      </c>
    </row>
    <row r="626" spans="1:6" x14ac:dyDescent="0.3">
      <c r="A626" t="s">
        <v>1046</v>
      </c>
      <c r="B626" t="s">
        <v>330</v>
      </c>
      <c r="C626" t="s">
        <v>62</v>
      </c>
      <c r="D626">
        <v>6</v>
      </c>
      <c r="E626" t="s">
        <v>82</v>
      </c>
      <c r="F626" t="s">
        <v>92</v>
      </c>
    </row>
    <row r="627" spans="1:6" x14ac:dyDescent="0.3">
      <c r="A627" t="s">
        <v>1047</v>
      </c>
      <c r="B627" t="s">
        <v>446</v>
      </c>
      <c r="C627" t="s">
        <v>52</v>
      </c>
      <c r="D627">
        <v>5</v>
      </c>
      <c r="E627" t="s">
        <v>91</v>
      </c>
      <c r="F627" t="s">
        <v>78</v>
      </c>
    </row>
    <row r="628" spans="1:6" x14ac:dyDescent="0.3">
      <c r="A628" t="s">
        <v>1048</v>
      </c>
      <c r="B628" t="s">
        <v>238</v>
      </c>
      <c r="C628" t="s">
        <v>39</v>
      </c>
      <c r="D628">
        <v>13</v>
      </c>
      <c r="E628" t="s">
        <v>91</v>
      </c>
      <c r="F628" t="s">
        <v>83</v>
      </c>
    </row>
    <row r="629" spans="1:6" x14ac:dyDescent="0.3">
      <c r="A629" t="s">
        <v>1049</v>
      </c>
      <c r="B629" t="s">
        <v>505</v>
      </c>
      <c r="C629" t="s">
        <v>68</v>
      </c>
      <c r="D629">
        <v>2</v>
      </c>
      <c r="E629" t="s">
        <v>82</v>
      </c>
      <c r="F629" t="s">
        <v>78</v>
      </c>
    </row>
    <row r="630" spans="1:6" x14ac:dyDescent="0.3">
      <c r="A630" t="s">
        <v>1050</v>
      </c>
      <c r="B630" t="s">
        <v>678</v>
      </c>
      <c r="C630" t="s">
        <v>22</v>
      </c>
      <c r="D630">
        <v>12</v>
      </c>
      <c r="E630" t="s">
        <v>86</v>
      </c>
      <c r="F630" t="s">
        <v>92</v>
      </c>
    </row>
    <row r="631" spans="1:6" x14ac:dyDescent="0.3">
      <c r="A631" t="s">
        <v>1051</v>
      </c>
      <c r="B631" t="s">
        <v>145</v>
      </c>
      <c r="C631" t="s">
        <v>24</v>
      </c>
      <c r="D631">
        <v>13</v>
      </c>
      <c r="E631" t="s">
        <v>82</v>
      </c>
      <c r="F631" t="s">
        <v>78</v>
      </c>
    </row>
    <row r="632" spans="1:6" x14ac:dyDescent="0.3">
      <c r="A632" t="s">
        <v>1052</v>
      </c>
      <c r="B632" t="s">
        <v>347</v>
      </c>
      <c r="C632" t="s">
        <v>12</v>
      </c>
      <c r="D632">
        <v>13</v>
      </c>
      <c r="E632" t="s">
        <v>77</v>
      </c>
      <c r="F632" t="s">
        <v>92</v>
      </c>
    </row>
    <row r="633" spans="1:6" x14ac:dyDescent="0.3">
      <c r="A633" t="s">
        <v>1053</v>
      </c>
      <c r="B633" t="s">
        <v>1027</v>
      </c>
      <c r="C633" t="s">
        <v>68</v>
      </c>
      <c r="D633">
        <v>5</v>
      </c>
      <c r="E633" t="s">
        <v>86</v>
      </c>
      <c r="F633" t="s">
        <v>83</v>
      </c>
    </row>
    <row r="634" spans="1:6" x14ac:dyDescent="0.3">
      <c r="A634" t="s">
        <v>1054</v>
      </c>
      <c r="B634" t="s">
        <v>460</v>
      </c>
      <c r="C634" t="s">
        <v>10</v>
      </c>
      <c r="D634">
        <v>11</v>
      </c>
      <c r="E634" t="s">
        <v>91</v>
      </c>
      <c r="F634" t="s">
        <v>92</v>
      </c>
    </row>
    <row r="635" spans="1:6" x14ac:dyDescent="0.3">
      <c r="A635" t="s">
        <v>1055</v>
      </c>
      <c r="B635" t="s">
        <v>257</v>
      </c>
      <c r="C635" t="s">
        <v>45</v>
      </c>
      <c r="D635">
        <v>5</v>
      </c>
      <c r="E635" t="s">
        <v>91</v>
      </c>
      <c r="F635" t="s">
        <v>92</v>
      </c>
    </row>
    <row r="636" spans="1:6" x14ac:dyDescent="0.3">
      <c r="A636" t="s">
        <v>1056</v>
      </c>
      <c r="B636" t="s">
        <v>852</v>
      </c>
      <c r="C636" t="s">
        <v>31</v>
      </c>
      <c r="D636">
        <v>5</v>
      </c>
      <c r="E636" t="s">
        <v>86</v>
      </c>
      <c r="F636" t="s">
        <v>78</v>
      </c>
    </row>
    <row r="637" spans="1:6" x14ac:dyDescent="0.3">
      <c r="A637" t="s">
        <v>1057</v>
      </c>
      <c r="B637" t="s">
        <v>169</v>
      </c>
      <c r="C637" t="s">
        <v>68</v>
      </c>
      <c r="D637">
        <v>14</v>
      </c>
      <c r="E637" t="s">
        <v>91</v>
      </c>
      <c r="F637" t="s">
        <v>92</v>
      </c>
    </row>
    <row r="638" spans="1:6" x14ac:dyDescent="0.3">
      <c r="A638" t="s">
        <v>1058</v>
      </c>
      <c r="B638" t="s">
        <v>623</v>
      </c>
      <c r="C638" t="s">
        <v>683</v>
      </c>
      <c r="D638">
        <v>2</v>
      </c>
      <c r="E638" t="s">
        <v>86</v>
      </c>
      <c r="F638" t="s">
        <v>92</v>
      </c>
    </row>
    <row r="639" spans="1:6" x14ac:dyDescent="0.3">
      <c r="A639" t="s">
        <v>1059</v>
      </c>
      <c r="B639" t="s">
        <v>641</v>
      </c>
      <c r="C639" t="s">
        <v>22</v>
      </c>
      <c r="D639">
        <v>1</v>
      </c>
      <c r="E639" t="s">
        <v>91</v>
      </c>
      <c r="F639" t="s">
        <v>92</v>
      </c>
    </row>
    <row r="640" spans="1:6" x14ac:dyDescent="0.3">
      <c r="A640" t="s">
        <v>1060</v>
      </c>
      <c r="B640" t="s">
        <v>715</v>
      </c>
      <c r="C640" t="s">
        <v>66</v>
      </c>
      <c r="D640">
        <v>8</v>
      </c>
      <c r="E640" t="s">
        <v>82</v>
      </c>
      <c r="F640" t="s">
        <v>83</v>
      </c>
    </row>
    <row r="641" spans="1:6" x14ac:dyDescent="0.3">
      <c r="A641" t="s">
        <v>1061</v>
      </c>
      <c r="B641" t="s">
        <v>391</v>
      </c>
      <c r="C641" t="s">
        <v>64</v>
      </c>
      <c r="D641">
        <v>3</v>
      </c>
      <c r="E641" t="s">
        <v>82</v>
      </c>
      <c r="F641" t="s">
        <v>78</v>
      </c>
    </row>
    <row r="642" spans="1:6" x14ac:dyDescent="0.3">
      <c r="A642" t="s">
        <v>1062</v>
      </c>
      <c r="B642" t="s">
        <v>753</v>
      </c>
      <c r="C642" t="s">
        <v>47</v>
      </c>
      <c r="D642">
        <v>7</v>
      </c>
      <c r="E642" t="s">
        <v>82</v>
      </c>
      <c r="F642" t="s">
        <v>92</v>
      </c>
    </row>
    <row r="643" spans="1:6" x14ac:dyDescent="0.3">
      <c r="A643" t="s">
        <v>1063</v>
      </c>
      <c r="B643" t="s">
        <v>469</v>
      </c>
      <c r="C643" t="s">
        <v>39</v>
      </c>
      <c r="D643">
        <v>8</v>
      </c>
      <c r="E643" t="s">
        <v>82</v>
      </c>
      <c r="F643" t="s">
        <v>83</v>
      </c>
    </row>
    <row r="644" spans="1:6" x14ac:dyDescent="0.3">
      <c r="A644" t="s">
        <v>1064</v>
      </c>
      <c r="B644" t="s">
        <v>344</v>
      </c>
      <c r="C644" t="s">
        <v>28</v>
      </c>
      <c r="D644">
        <v>10</v>
      </c>
      <c r="E644" t="s">
        <v>82</v>
      </c>
      <c r="F644" t="s">
        <v>92</v>
      </c>
    </row>
    <row r="645" spans="1:6" x14ac:dyDescent="0.3">
      <c r="A645" t="s">
        <v>1065</v>
      </c>
      <c r="B645" t="s">
        <v>469</v>
      </c>
      <c r="C645" t="s">
        <v>28</v>
      </c>
      <c r="D645">
        <v>2</v>
      </c>
      <c r="E645" t="s">
        <v>77</v>
      </c>
      <c r="F645" t="s">
        <v>83</v>
      </c>
    </row>
    <row r="646" spans="1:6" x14ac:dyDescent="0.3">
      <c r="A646" t="s">
        <v>1066</v>
      </c>
      <c r="B646" t="s">
        <v>379</v>
      </c>
      <c r="C646" t="s">
        <v>307</v>
      </c>
      <c r="D646">
        <v>10</v>
      </c>
      <c r="E646" t="s">
        <v>91</v>
      </c>
      <c r="F646" t="s">
        <v>92</v>
      </c>
    </row>
    <row r="647" spans="1:6" x14ac:dyDescent="0.3">
      <c r="A647" t="s">
        <v>1067</v>
      </c>
      <c r="B647" t="s">
        <v>1068</v>
      </c>
      <c r="C647" t="s">
        <v>60</v>
      </c>
      <c r="D647">
        <v>12</v>
      </c>
      <c r="E647" t="s">
        <v>86</v>
      </c>
      <c r="F647" t="s">
        <v>78</v>
      </c>
    </row>
    <row r="648" spans="1:6" x14ac:dyDescent="0.3">
      <c r="A648" t="s">
        <v>1069</v>
      </c>
      <c r="B648" t="s">
        <v>1070</v>
      </c>
      <c r="C648" t="s">
        <v>33</v>
      </c>
      <c r="D648">
        <v>10</v>
      </c>
      <c r="E648" t="s">
        <v>86</v>
      </c>
      <c r="F648" t="s">
        <v>78</v>
      </c>
    </row>
    <row r="649" spans="1:6" x14ac:dyDescent="0.3">
      <c r="A649" t="s">
        <v>1071</v>
      </c>
      <c r="B649" t="s">
        <v>192</v>
      </c>
      <c r="C649" t="s">
        <v>37</v>
      </c>
      <c r="D649">
        <v>8</v>
      </c>
      <c r="E649" t="s">
        <v>77</v>
      </c>
      <c r="F649" t="s">
        <v>92</v>
      </c>
    </row>
    <row r="650" spans="1:6" x14ac:dyDescent="0.3">
      <c r="A650" t="s">
        <v>1072</v>
      </c>
      <c r="B650" t="s">
        <v>1073</v>
      </c>
      <c r="C650" t="s">
        <v>66</v>
      </c>
      <c r="D650">
        <v>10</v>
      </c>
      <c r="E650" t="s">
        <v>86</v>
      </c>
      <c r="F650" t="s">
        <v>78</v>
      </c>
    </row>
    <row r="651" spans="1:6" x14ac:dyDescent="0.3">
      <c r="A651" t="s">
        <v>1074</v>
      </c>
      <c r="B651" t="s">
        <v>1075</v>
      </c>
      <c r="C651" t="s">
        <v>47</v>
      </c>
      <c r="D651">
        <v>5</v>
      </c>
      <c r="E651" t="s">
        <v>82</v>
      </c>
      <c r="F651" t="s">
        <v>92</v>
      </c>
    </row>
    <row r="652" spans="1:6" x14ac:dyDescent="0.3">
      <c r="A652" t="s">
        <v>1076</v>
      </c>
      <c r="B652" t="s">
        <v>815</v>
      </c>
      <c r="C652" t="s">
        <v>28</v>
      </c>
      <c r="D652">
        <v>5</v>
      </c>
      <c r="E652" t="s">
        <v>82</v>
      </c>
      <c r="F652" t="s">
        <v>92</v>
      </c>
    </row>
    <row r="653" spans="1:6" x14ac:dyDescent="0.3">
      <c r="A653" t="s">
        <v>1077</v>
      </c>
      <c r="B653" t="s">
        <v>333</v>
      </c>
      <c r="C653" t="s">
        <v>56</v>
      </c>
      <c r="D653">
        <v>1</v>
      </c>
      <c r="E653" t="s">
        <v>91</v>
      </c>
      <c r="F653" t="s">
        <v>92</v>
      </c>
    </row>
    <row r="654" spans="1:6" x14ac:dyDescent="0.3">
      <c r="A654" t="s">
        <v>1078</v>
      </c>
      <c r="B654" t="s">
        <v>578</v>
      </c>
      <c r="C654" t="s">
        <v>16</v>
      </c>
      <c r="D654">
        <v>10</v>
      </c>
      <c r="E654" t="s">
        <v>77</v>
      </c>
      <c r="F654" t="s">
        <v>78</v>
      </c>
    </row>
    <row r="655" spans="1:6" x14ac:dyDescent="0.3">
      <c r="A655" t="s">
        <v>1079</v>
      </c>
      <c r="B655" t="s">
        <v>1044</v>
      </c>
      <c r="C655" t="s">
        <v>60</v>
      </c>
      <c r="D655">
        <v>14</v>
      </c>
      <c r="E655" t="s">
        <v>86</v>
      </c>
      <c r="F655" t="s">
        <v>78</v>
      </c>
    </row>
    <row r="656" spans="1:6" x14ac:dyDescent="0.3">
      <c r="A656" t="s">
        <v>1080</v>
      </c>
      <c r="B656" t="s">
        <v>177</v>
      </c>
      <c r="C656" t="s">
        <v>24</v>
      </c>
      <c r="D656">
        <v>8</v>
      </c>
      <c r="E656" t="s">
        <v>91</v>
      </c>
      <c r="F656" t="s">
        <v>92</v>
      </c>
    </row>
    <row r="657" spans="1:6" x14ac:dyDescent="0.3">
      <c r="A657" t="s">
        <v>1081</v>
      </c>
      <c r="B657" t="s">
        <v>218</v>
      </c>
      <c r="C657" t="s">
        <v>49</v>
      </c>
      <c r="D657">
        <v>14</v>
      </c>
      <c r="E657" t="s">
        <v>82</v>
      </c>
      <c r="F657" t="s">
        <v>78</v>
      </c>
    </row>
    <row r="658" spans="1:6" x14ac:dyDescent="0.3">
      <c r="A658" t="s">
        <v>1082</v>
      </c>
      <c r="B658" t="s">
        <v>763</v>
      </c>
      <c r="C658" t="s">
        <v>16</v>
      </c>
      <c r="D658">
        <v>3</v>
      </c>
      <c r="E658" t="s">
        <v>82</v>
      </c>
      <c r="F658" t="s">
        <v>78</v>
      </c>
    </row>
    <row r="659" spans="1:6" x14ac:dyDescent="0.3">
      <c r="A659" t="s">
        <v>1083</v>
      </c>
      <c r="B659" t="s">
        <v>1084</v>
      </c>
      <c r="C659" t="s">
        <v>33</v>
      </c>
      <c r="D659">
        <v>14</v>
      </c>
      <c r="E659" t="s">
        <v>91</v>
      </c>
      <c r="F659" t="s">
        <v>83</v>
      </c>
    </row>
    <row r="660" spans="1:6" x14ac:dyDescent="0.3">
      <c r="A660" t="s">
        <v>1085</v>
      </c>
      <c r="B660" t="s">
        <v>328</v>
      </c>
      <c r="C660" t="s">
        <v>39</v>
      </c>
      <c r="D660">
        <v>12</v>
      </c>
      <c r="E660" t="s">
        <v>82</v>
      </c>
      <c r="F660" t="s">
        <v>92</v>
      </c>
    </row>
    <row r="661" spans="1:6" x14ac:dyDescent="0.3">
      <c r="A661" t="s">
        <v>1086</v>
      </c>
      <c r="B661" t="s">
        <v>753</v>
      </c>
      <c r="C661" t="s">
        <v>56</v>
      </c>
      <c r="D661">
        <v>7</v>
      </c>
      <c r="E661" t="s">
        <v>91</v>
      </c>
      <c r="F661" t="s">
        <v>83</v>
      </c>
    </row>
    <row r="662" spans="1:6" x14ac:dyDescent="0.3">
      <c r="A662" t="s">
        <v>1087</v>
      </c>
      <c r="B662" t="s">
        <v>936</v>
      </c>
      <c r="C662" t="s">
        <v>866</v>
      </c>
      <c r="D662">
        <v>7</v>
      </c>
      <c r="E662" t="s">
        <v>77</v>
      </c>
      <c r="F662" t="s">
        <v>83</v>
      </c>
    </row>
    <row r="663" spans="1:6" x14ac:dyDescent="0.3">
      <c r="A663" t="s">
        <v>1088</v>
      </c>
      <c r="B663" t="s">
        <v>1089</v>
      </c>
      <c r="C663" t="s">
        <v>52</v>
      </c>
      <c r="D663">
        <v>3</v>
      </c>
      <c r="E663" t="s">
        <v>86</v>
      </c>
      <c r="F663" t="s">
        <v>92</v>
      </c>
    </row>
    <row r="664" spans="1:6" x14ac:dyDescent="0.3">
      <c r="A664" t="s">
        <v>1090</v>
      </c>
      <c r="B664" t="s">
        <v>794</v>
      </c>
      <c r="C664" t="s">
        <v>31</v>
      </c>
      <c r="D664">
        <v>9</v>
      </c>
      <c r="E664" t="s">
        <v>86</v>
      </c>
      <c r="F664" t="s">
        <v>78</v>
      </c>
    </row>
    <row r="665" spans="1:6" x14ac:dyDescent="0.3">
      <c r="A665" t="s">
        <v>1091</v>
      </c>
      <c r="B665" t="s">
        <v>695</v>
      </c>
      <c r="C665" t="s">
        <v>60</v>
      </c>
      <c r="D665">
        <v>10</v>
      </c>
      <c r="E665" t="s">
        <v>91</v>
      </c>
      <c r="F665" t="s">
        <v>78</v>
      </c>
    </row>
    <row r="666" spans="1:6" x14ac:dyDescent="0.3">
      <c r="A666" t="s">
        <v>1092</v>
      </c>
      <c r="B666" t="s">
        <v>593</v>
      </c>
      <c r="C666" t="s">
        <v>24</v>
      </c>
      <c r="D666">
        <v>13</v>
      </c>
      <c r="E666" t="s">
        <v>91</v>
      </c>
      <c r="F666" t="s">
        <v>92</v>
      </c>
    </row>
    <row r="667" spans="1:6" x14ac:dyDescent="0.3">
      <c r="A667" t="s">
        <v>1093</v>
      </c>
      <c r="B667" t="s">
        <v>650</v>
      </c>
      <c r="C667" t="s">
        <v>22</v>
      </c>
      <c r="D667">
        <v>2</v>
      </c>
      <c r="E667" t="s">
        <v>77</v>
      </c>
      <c r="F667" t="s">
        <v>78</v>
      </c>
    </row>
    <row r="668" spans="1:6" x14ac:dyDescent="0.3">
      <c r="A668" t="s">
        <v>1094</v>
      </c>
      <c r="B668" t="s">
        <v>551</v>
      </c>
      <c r="C668" t="s">
        <v>31</v>
      </c>
      <c r="D668">
        <v>5</v>
      </c>
      <c r="E668" t="s">
        <v>82</v>
      </c>
      <c r="F668" t="s">
        <v>83</v>
      </c>
    </row>
    <row r="669" spans="1:6" x14ac:dyDescent="0.3">
      <c r="A669" t="s">
        <v>1095</v>
      </c>
      <c r="B669" t="s">
        <v>446</v>
      </c>
      <c r="C669" t="s">
        <v>463</v>
      </c>
      <c r="D669">
        <v>10</v>
      </c>
      <c r="E669" t="s">
        <v>86</v>
      </c>
      <c r="F669" t="s">
        <v>92</v>
      </c>
    </row>
    <row r="670" spans="1:6" x14ac:dyDescent="0.3">
      <c r="A670" t="s">
        <v>1096</v>
      </c>
      <c r="B670" t="s">
        <v>524</v>
      </c>
      <c r="C670" t="s">
        <v>60</v>
      </c>
      <c r="D670">
        <v>2</v>
      </c>
      <c r="E670" t="s">
        <v>77</v>
      </c>
      <c r="F670" t="s">
        <v>92</v>
      </c>
    </row>
    <row r="671" spans="1:6" x14ac:dyDescent="0.3">
      <c r="A671" t="s">
        <v>1097</v>
      </c>
      <c r="B671" t="s">
        <v>118</v>
      </c>
      <c r="C671" t="s">
        <v>20</v>
      </c>
      <c r="D671">
        <v>11</v>
      </c>
      <c r="E671" t="s">
        <v>77</v>
      </c>
      <c r="F671" t="s">
        <v>83</v>
      </c>
    </row>
    <row r="672" spans="1:6" x14ac:dyDescent="0.3">
      <c r="A672" t="s">
        <v>1098</v>
      </c>
      <c r="B672" t="s">
        <v>821</v>
      </c>
      <c r="C672" t="s">
        <v>10</v>
      </c>
      <c r="D672">
        <v>12</v>
      </c>
      <c r="E672" t="s">
        <v>91</v>
      </c>
      <c r="F672" t="s">
        <v>92</v>
      </c>
    </row>
    <row r="673" spans="1:6" x14ac:dyDescent="0.3">
      <c r="A673" t="s">
        <v>1099</v>
      </c>
      <c r="B673" t="s">
        <v>553</v>
      </c>
      <c r="C673" t="s">
        <v>64</v>
      </c>
      <c r="D673">
        <v>10</v>
      </c>
      <c r="E673" t="s">
        <v>77</v>
      </c>
      <c r="F673" t="s">
        <v>83</v>
      </c>
    </row>
    <row r="674" spans="1:6" x14ac:dyDescent="0.3">
      <c r="A674" t="s">
        <v>1100</v>
      </c>
      <c r="B674" t="s">
        <v>257</v>
      </c>
      <c r="C674" t="s">
        <v>66</v>
      </c>
      <c r="D674">
        <v>9</v>
      </c>
      <c r="E674" t="s">
        <v>77</v>
      </c>
      <c r="F674" t="s">
        <v>83</v>
      </c>
    </row>
    <row r="675" spans="1:6" x14ac:dyDescent="0.3">
      <c r="A675" t="s">
        <v>1101</v>
      </c>
      <c r="B675" t="s">
        <v>827</v>
      </c>
      <c r="C675" t="s">
        <v>397</v>
      </c>
      <c r="D675">
        <v>9</v>
      </c>
      <c r="E675" t="s">
        <v>82</v>
      </c>
      <c r="F675" t="s">
        <v>83</v>
      </c>
    </row>
    <row r="676" spans="1:6" x14ac:dyDescent="0.3">
      <c r="A676" t="s">
        <v>1102</v>
      </c>
      <c r="B676" t="s">
        <v>320</v>
      </c>
      <c r="C676" t="s">
        <v>64</v>
      </c>
      <c r="D676">
        <v>9</v>
      </c>
      <c r="E676" t="s">
        <v>91</v>
      </c>
      <c r="F676" t="s">
        <v>92</v>
      </c>
    </row>
    <row r="677" spans="1:6" x14ac:dyDescent="0.3">
      <c r="A677" t="s">
        <v>1103</v>
      </c>
      <c r="B677" t="s">
        <v>225</v>
      </c>
      <c r="C677" t="s">
        <v>62</v>
      </c>
      <c r="D677">
        <v>1</v>
      </c>
      <c r="E677" t="s">
        <v>86</v>
      </c>
      <c r="F677" t="s">
        <v>78</v>
      </c>
    </row>
    <row r="678" spans="1:6" x14ac:dyDescent="0.3">
      <c r="A678" t="s">
        <v>1104</v>
      </c>
      <c r="B678" t="s">
        <v>1105</v>
      </c>
      <c r="C678" t="s">
        <v>41</v>
      </c>
      <c r="D678">
        <v>8</v>
      </c>
      <c r="E678" t="s">
        <v>82</v>
      </c>
      <c r="F678" t="s">
        <v>78</v>
      </c>
    </row>
    <row r="679" spans="1:6" x14ac:dyDescent="0.3">
      <c r="A679" t="s">
        <v>1106</v>
      </c>
      <c r="B679" t="s">
        <v>157</v>
      </c>
      <c r="C679" t="s">
        <v>64</v>
      </c>
      <c r="D679">
        <v>2</v>
      </c>
      <c r="E679" t="s">
        <v>82</v>
      </c>
      <c r="F679" t="s">
        <v>92</v>
      </c>
    </row>
    <row r="680" spans="1:6" x14ac:dyDescent="0.3">
      <c r="A680" t="s">
        <v>1107</v>
      </c>
      <c r="B680" t="s">
        <v>1108</v>
      </c>
      <c r="C680" t="s">
        <v>47</v>
      </c>
      <c r="D680">
        <v>7</v>
      </c>
      <c r="E680" t="s">
        <v>77</v>
      </c>
      <c r="F680" t="s">
        <v>83</v>
      </c>
    </row>
    <row r="681" spans="1:6" x14ac:dyDescent="0.3">
      <c r="A681" t="s">
        <v>1109</v>
      </c>
      <c r="B681" t="s">
        <v>578</v>
      </c>
      <c r="C681" t="s">
        <v>37</v>
      </c>
      <c r="D681">
        <v>4</v>
      </c>
      <c r="E681" t="s">
        <v>82</v>
      </c>
      <c r="F681" t="s">
        <v>92</v>
      </c>
    </row>
    <row r="682" spans="1:6" x14ac:dyDescent="0.3">
      <c r="A682" t="s">
        <v>1110</v>
      </c>
      <c r="B682" t="s">
        <v>663</v>
      </c>
      <c r="C682" t="s">
        <v>472</v>
      </c>
      <c r="D682">
        <v>10</v>
      </c>
      <c r="E682" t="s">
        <v>77</v>
      </c>
      <c r="F682" t="s">
        <v>83</v>
      </c>
    </row>
    <row r="683" spans="1:6" x14ac:dyDescent="0.3">
      <c r="A683" t="s">
        <v>1111</v>
      </c>
      <c r="B683" t="s">
        <v>471</v>
      </c>
      <c r="C683" t="s">
        <v>24</v>
      </c>
      <c r="D683">
        <v>11</v>
      </c>
      <c r="E683" t="s">
        <v>91</v>
      </c>
      <c r="F683" t="s">
        <v>92</v>
      </c>
    </row>
    <row r="684" spans="1:6" x14ac:dyDescent="0.3">
      <c r="A684" t="s">
        <v>1112</v>
      </c>
      <c r="B684" t="s">
        <v>333</v>
      </c>
      <c r="C684" t="s">
        <v>20</v>
      </c>
      <c r="D684">
        <v>5</v>
      </c>
      <c r="E684" t="s">
        <v>82</v>
      </c>
      <c r="F684" t="s">
        <v>78</v>
      </c>
    </row>
    <row r="685" spans="1:6" x14ac:dyDescent="0.3">
      <c r="A685" t="s">
        <v>1113</v>
      </c>
      <c r="B685" t="s">
        <v>469</v>
      </c>
      <c r="C685" t="s">
        <v>68</v>
      </c>
      <c r="D685">
        <v>6</v>
      </c>
      <c r="E685" t="s">
        <v>91</v>
      </c>
      <c r="F685" t="s">
        <v>92</v>
      </c>
    </row>
    <row r="686" spans="1:6" x14ac:dyDescent="0.3">
      <c r="A686" t="s">
        <v>1114</v>
      </c>
      <c r="B686" t="s">
        <v>542</v>
      </c>
      <c r="C686" t="s">
        <v>56</v>
      </c>
      <c r="D686">
        <v>10</v>
      </c>
      <c r="E686" t="s">
        <v>91</v>
      </c>
      <c r="F686" t="s">
        <v>92</v>
      </c>
    </row>
    <row r="687" spans="1:6" x14ac:dyDescent="0.3">
      <c r="A687" t="s">
        <v>1115</v>
      </c>
      <c r="B687" t="s">
        <v>1040</v>
      </c>
      <c r="C687" t="s">
        <v>41</v>
      </c>
      <c r="D687">
        <v>14</v>
      </c>
      <c r="E687" t="s">
        <v>82</v>
      </c>
      <c r="F687" t="s">
        <v>83</v>
      </c>
    </row>
    <row r="688" spans="1:6" x14ac:dyDescent="0.3">
      <c r="A688" t="s">
        <v>1116</v>
      </c>
      <c r="B688" t="s">
        <v>90</v>
      </c>
      <c r="C688" t="s">
        <v>58</v>
      </c>
      <c r="D688">
        <v>2</v>
      </c>
      <c r="E688" t="s">
        <v>86</v>
      </c>
      <c r="F688" t="s">
        <v>78</v>
      </c>
    </row>
    <row r="689" spans="1:6" x14ac:dyDescent="0.3">
      <c r="A689" t="s">
        <v>1117</v>
      </c>
      <c r="B689" t="s">
        <v>655</v>
      </c>
      <c r="C689" t="s">
        <v>52</v>
      </c>
      <c r="D689">
        <v>12</v>
      </c>
      <c r="E689" t="s">
        <v>91</v>
      </c>
      <c r="F689" t="s">
        <v>83</v>
      </c>
    </row>
    <row r="690" spans="1:6" x14ac:dyDescent="0.3">
      <c r="A690" t="s">
        <v>1118</v>
      </c>
      <c r="B690" t="s">
        <v>988</v>
      </c>
      <c r="C690" t="s">
        <v>24</v>
      </c>
      <c r="D690">
        <v>7</v>
      </c>
      <c r="E690" t="s">
        <v>77</v>
      </c>
      <c r="F690" t="s">
        <v>83</v>
      </c>
    </row>
    <row r="691" spans="1:6" x14ac:dyDescent="0.3">
      <c r="A691" t="s">
        <v>1119</v>
      </c>
      <c r="B691" t="s">
        <v>1027</v>
      </c>
      <c r="C691" t="s">
        <v>18</v>
      </c>
      <c r="D691">
        <v>12</v>
      </c>
      <c r="E691" t="s">
        <v>82</v>
      </c>
      <c r="F691" t="s">
        <v>83</v>
      </c>
    </row>
    <row r="692" spans="1:6" x14ac:dyDescent="0.3">
      <c r="A692" t="s">
        <v>1120</v>
      </c>
      <c r="B692" t="s">
        <v>1121</v>
      </c>
      <c r="C692" t="s">
        <v>60</v>
      </c>
      <c r="D692">
        <v>10</v>
      </c>
      <c r="E692" t="s">
        <v>91</v>
      </c>
      <c r="F692" t="s">
        <v>83</v>
      </c>
    </row>
    <row r="693" spans="1:6" x14ac:dyDescent="0.3">
      <c r="A693" t="s">
        <v>1122</v>
      </c>
      <c r="B693" t="s">
        <v>436</v>
      </c>
      <c r="C693" t="s">
        <v>43</v>
      </c>
      <c r="D693">
        <v>7</v>
      </c>
      <c r="E693" t="s">
        <v>91</v>
      </c>
      <c r="F693" t="s">
        <v>78</v>
      </c>
    </row>
    <row r="694" spans="1:6" x14ac:dyDescent="0.3">
      <c r="A694" t="s">
        <v>1123</v>
      </c>
      <c r="B694" t="s">
        <v>192</v>
      </c>
      <c r="C694" t="s">
        <v>49</v>
      </c>
      <c r="D694">
        <v>1</v>
      </c>
      <c r="E694" t="s">
        <v>86</v>
      </c>
      <c r="F694" t="s">
        <v>78</v>
      </c>
    </row>
    <row r="695" spans="1:6" x14ac:dyDescent="0.3">
      <c r="A695" t="s">
        <v>1124</v>
      </c>
      <c r="B695" t="s">
        <v>272</v>
      </c>
      <c r="C695" t="s">
        <v>18</v>
      </c>
      <c r="D695">
        <v>11</v>
      </c>
      <c r="E695" t="s">
        <v>77</v>
      </c>
      <c r="F695" t="s">
        <v>83</v>
      </c>
    </row>
    <row r="696" spans="1:6" x14ac:dyDescent="0.3">
      <c r="A696" t="s">
        <v>1125</v>
      </c>
      <c r="B696" t="s">
        <v>167</v>
      </c>
      <c r="C696" t="s">
        <v>16</v>
      </c>
      <c r="D696">
        <v>2</v>
      </c>
      <c r="E696" t="s">
        <v>82</v>
      </c>
      <c r="F696" t="s">
        <v>92</v>
      </c>
    </row>
    <row r="697" spans="1:6" x14ac:dyDescent="0.3">
      <c r="A697" t="s">
        <v>1126</v>
      </c>
      <c r="B697" t="s">
        <v>658</v>
      </c>
      <c r="C697" t="s">
        <v>45</v>
      </c>
      <c r="D697">
        <v>6</v>
      </c>
      <c r="E697" t="s">
        <v>77</v>
      </c>
      <c r="F697" t="s">
        <v>92</v>
      </c>
    </row>
    <row r="698" spans="1:6" x14ac:dyDescent="0.3">
      <c r="A698" t="s">
        <v>1127</v>
      </c>
      <c r="B698" t="s">
        <v>1128</v>
      </c>
      <c r="C698" t="s">
        <v>41</v>
      </c>
      <c r="D698">
        <v>6</v>
      </c>
      <c r="E698" t="s">
        <v>86</v>
      </c>
      <c r="F698" t="s">
        <v>92</v>
      </c>
    </row>
    <row r="699" spans="1:6" x14ac:dyDescent="0.3">
      <c r="A699" t="s">
        <v>1129</v>
      </c>
      <c r="B699" t="s">
        <v>179</v>
      </c>
      <c r="C699" t="s">
        <v>22</v>
      </c>
      <c r="D699">
        <v>11</v>
      </c>
      <c r="E699" t="s">
        <v>91</v>
      </c>
      <c r="F699" t="s">
        <v>92</v>
      </c>
    </row>
    <row r="700" spans="1:6" x14ac:dyDescent="0.3">
      <c r="A700" t="s">
        <v>1130</v>
      </c>
      <c r="B700" t="s">
        <v>102</v>
      </c>
      <c r="C700" t="s">
        <v>12</v>
      </c>
      <c r="D700">
        <v>3</v>
      </c>
      <c r="E700" t="s">
        <v>86</v>
      </c>
      <c r="F700" t="s">
        <v>78</v>
      </c>
    </row>
    <row r="701" spans="1:6" x14ac:dyDescent="0.3">
      <c r="A701" t="s">
        <v>1131</v>
      </c>
      <c r="B701" t="s">
        <v>800</v>
      </c>
      <c r="C701" t="s">
        <v>16</v>
      </c>
      <c r="D701">
        <v>14</v>
      </c>
      <c r="E701" t="s">
        <v>91</v>
      </c>
      <c r="F701" t="s">
        <v>78</v>
      </c>
    </row>
    <row r="702" spans="1:6" x14ac:dyDescent="0.3">
      <c r="A702" t="s">
        <v>1132</v>
      </c>
      <c r="B702" t="s">
        <v>272</v>
      </c>
      <c r="C702" t="s">
        <v>20</v>
      </c>
      <c r="D702">
        <v>9</v>
      </c>
      <c r="E702" t="s">
        <v>91</v>
      </c>
      <c r="F702" t="s">
        <v>92</v>
      </c>
    </row>
    <row r="703" spans="1:6" x14ac:dyDescent="0.3">
      <c r="A703" t="s">
        <v>1133</v>
      </c>
      <c r="B703" t="s">
        <v>155</v>
      </c>
      <c r="C703" t="s">
        <v>16</v>
      </c>
      <c r="D703">
        <v>3</v>
      </c>
      <c r="E703" t="s">
        <v>86</v>
      </c>
      <c r="F703" t="s">
        <v>92</v>
      </c>
    </row>
    <row r="704" spans="1:6" x14ac:dyDescent="0.3">
      <c r="A704" t="s">
        <v>1134</v>
      </c>
      <c r="B704" t="s">
        <v>151</v>
      </c>
      <c r="C704" t="s">
        <v>307</v>
      </c>
      <c r="D704">
        <v>2</v>
      </c>
      <c r="E704" t="s">
        <v>82</v>
      </c>
      <c r="F704" t="s">
        <v>78</v>
      </c>
    </row>
    <row r="705" spans="1:6" x14ac:dyDescent="0.3">
      <c r="A705" t="s">
        <v>1135</v>
      </c>
      <c r="B705" t="s">
        <v>735</v>
      </c>
      <c r="C705" t="s">
        <v>68</v>
      </c>
      <c r="D705">
        <v>5</v>
      </c>
      <c r="E705" t="s">
        <v>82</v>
      </c>
      <c r="F705" t="s">
        <v>83</v>
      </c>
    </row>
    <row r="706" spans="1:6" x14ac:dyDescent="0.3">
      <c r="A706" t="s">
        <v>1136</v>
      </c>
      <c r="B706" t="s">
        <v>410</v>
      </c>
      <c r="C706" t="s">
        <v>24</v>
      </c>
      <c r="D706">
        <v>8</v>
      </c>
      <c r="E706" t="s">
        <v>77</v>
      </c>
      <c r="F706" t="s">
        <v>92</v>
      </c>
    </row>
    <row r="707" spans="1:6" x14ac:dyDescent="0.3">
      <c r="A707" t="s">
        <v>1137</v>
      </c>
      <c r="B707" t="s">
        <v>1138</v>
      </c>
      <c r="C707" t="s">
        <v>56</v>
      </c>
      <c r="D707">
        <v>7</v>
      </c>
      <c r="E707" t="s">
        <v>86</v>
      </c>
      <c r="F707" t="s">
        <v>92</v>
      </c>
    </row>
    <row r="708" spans="1:6" x14ac:dyDescent="0.3">
      <c r="A708" t="s">
        <v>1139</v>
      </c>
      <c r="B708" t="s">
        <v>1140</v>
      </c>
      <c r="C708" t="s">
        <v>18</v>
      </c>
      <c r="D708">
        <v>3</v>
      </c>
      <c r="E708" t="s">
        <v>77</v>
      </c>
      <c r="F708" t="s">
        <v>83</v>
      </c>
    </row>
    <row r="709" spans="1:6" x14ac:dyDescent="0.3">
      <c r="A709" t="s">
        <v>1141</v>
      </c>
      <c r="B709" t="s">
        <v>322</v>
      </c>
      <c r="C709" t="s">
        <v>7</v>
      </c>
      <c r="D709">
        <v>14</v>
      </c>
      <c r="E709" t="s">
        <v>91</v>
      </c>
      <c r="F709" t="s">
        <v>83</v>
      </c>
    </row>
    <row r="710" spans="1:6" x14ac:dyDescent="0.3">
      <c r="A710" t="s">
        <v>1142</v>
      </c>
      <c r="B710" t="s">
        <v>1143</v>
      </c>
      <c r="C710" t="s">
        <v>24</v>
      </c>
      <c r="D710">
        <v>9</v>
      </c>
      <c r="E710" t="s">
        <v>86</v>
      </c>
      <c r="F710" t="s">
        <v>78</v>
      </c>
    </row>
    <row r="711" spans="1:6" x14ac:dyDescent="0.3">
      <c r="A711" t="s">
        <v>1144</v>
      </c>
      <c r="B711" t="s">
        <v>111</v>
      </c>
      <c r="C711" t="s">
        <v>31</v>
      </c>
      <c r="D711">
        <v>7</v>
      </c>
      <c r="E711" t="s">
        <v>82</v>
      </c>
      <c r="F711" t="s">
        <v>83</v>
      </c>
    </row>
    <row r="712" spans="1:6" x14ac:dyDescent="0.3">
      <c r="A712" t="s">
        <v>1145</v>
      </c>
      <c r="B712" t="s">
        <v>175</v>
      </c>
      <c r="C712" t="s">
        <v>58</v>
      </c>
      <c r="D712">
        <v>13</v>
      </c>
      <c r="E712" t="s">
        <v>91</v>
      </c>
      <c r="F712" t="s">
        <v>83</v>
      </c>
    </row>
    <row r="713" spans="1:6" x14ac:dyDescent="0.3">
      <c r="A713" t="s">
        <v>1146</v>
      </c>
      <c r="B713" t="s">
        <v>574</v>
      </c>
      <c r="C713" t="s">
        <v>866</v>
      </c>
      <c r="D713">
        <v>14</v>
      </c>
      <c r="E713" t="s">
        <v>82</v>
      </c>
      <c r="F713" t="s">
        <v>92</v>
      </c>
    </row>
    <row r="714" spans="1:6" x14ac:dyDescent="0.3">
      <c r="A714" t="s">
        <v>1147</v>
      </c>
      <c r="B714" t="s">
        <v>695</v>
      </c>
      <c r="C714" t="s">
        <v>37</v>
      </c>
      <c r="D714">
        <v>10</v>
      </c>
      <c r="E714" t="s">
        <v>77</v>
      </c>
      <c r="F714" t="s">
        <v>78</v>
      </c>
    </row>
    <row r="715" spans="1:6" x14ac:dyDescent="0.3">
      <c r="A715" t="s">
        <v>1148</v>
      </c>
      <c r="B715" t="s">
        <v>1021</v>
      </c>
      <c r="C715" t="s">
        <v>66</v>
      </c>
      <c r="D715">
        <v>13</v>
      </c>
      <c r="E715" t="s">
        <v>91</v>
      </c>
      <c r="F715" t="s">
        <v>92</v>
      </c>
    </row>
    <row r="716" spans="1:6" x14ac:dyDescent="0.3">
      <c r="A716" t="s">
        <v>1149</v>
      </c>
      <c r="B716" t="s">
        <v>388</v>
      </c>
      <c r="C716" t="s">
        <v>24</v>
      </c>
      <c r="D716">
        <v>8</v>
      </c>
      <c r="E716" t="s">
        <v>86</v>
      </c>
      <c r="F716" t="s">
        <v>78</v>
      </c>
    </row>
    <row r="717" spans="1:6" x14ac:dyDescent="0.3">
      <c r="A717" t="s">
        <v>1150</v>
      </c>
      <c r="B717" t="s">
        <v>849</v>
      </c>
      <c r="C717" t="s">
        <v>16</v>
      </c>
      <c r="D717">
        <v>3</v>
      </c>
      <c r="E717" t="s">
        <v>77</v>
      </c>
      <c r="F717" t="s">
        <v>92</v>
      </c>
    </row>
    <row r="718" spans="1:6" x14ac:dyDescent="0.3">
      <c r="A718" t="s">
        <v>1151</v>
      </c>
      <c r="B718" t="s">
        <v>130</v>
      </c>
      <c r="C718" t="s">
        <v>28</v>
      </c>
      <c r="D718">
        <v>1</v>
      </c>
      <c r="E718" t="s">
        <v>82</v>
      </c>
      <c r="F718" t="s">
        <v>78</v>
      </c>
    </row>
    <row r="719" spans="1:6" x14ac:dyDescent="0.3">
      <c r="A719" t="s">
        <v>1152</v>
      </c>
      <c r="B719" t="s">
        <v>885</v>
      </c>
      <c r="C719" t="s">
        <v>33</v>
      </c>
      <c r="D719">
        <v>13</v>
      </c>
      <c r="E719" t="s">
        <v>77</v>
      </c>
      <c r="F719" t="s">
        <v>83</v>
      </c>
    </row>
    <row r="720" spans="1:6" x14ac:dyDescent="0.3">
      <c r="A720" t="s">
        <v>1153</v>
      </c>
      <c r="B720" t="s">
        <v>538</v>
      </c>
      <c r="C720" t="s">
        <v>62</v>
      </c>
      <c r="D720">
        <v>8</v>
      </c>
      <c r="E720" t="s">
        <v>86</v>
      </c>
      <c r="F720" t="s">
        <v>78</v>
      </c>
    </row>
    <row r="721" spans="1:6" x14ac:dyDescent="0.3">
      <c r="A721" t="s">
        <v>1154</v>
      </c>
      <c r="B721" t="s">
        <v>663</v>
      </c>
      <c r="C721" t="s">
        <v>64</v>
      </c>
      <c r="D721">
        <v>4</v>
      </c>
      <c r="E721" t="s">
        <v>86</v>
      </c>
      <c r="F721" t="s">
        <v>83</v>
      </c>
    </row>
    <row r="722" spans="1:6" x14ac:dyDescent="0.3">
      <c r="A722" t="s">
        <v>1155</v>
      </c>
      <c r="B722" t="s">
        <v>1035</v>
      </c>
      <c r="C722" t="s">
        <v>831</v>
      </c>
      <c r="D722">
        <v>12</v>
      </c>
      <c r="E722" t="s">
        <v>77</v>
      </c>
      <c r="F722" t="s">
        <v>83</v>
      </c>
    </row>
    <row r="723" spans="1:6" x14ac:dyDescent="0.3">
      <c r="A723" t="s">
        <v>1156</v>
      </c>
      <c r="B723" t="s">
        <v>1157</v>
      </c>
      <c r="C723" t="s">
        <v>64</v>
      </c>
      <c r="D723">
        <v>5</v>
      </c>
      <c r="E723" t="s">
        <v>91</v>
      </c>
      <c r="F723" t="s">
        <v>78</v>
      </c>
    </row>
    <row r="724" spans="1:6" x14ac:dyDescent="0.3">
      <c r="A724" t="s">
        <v>1158</v>
      </c>
      <c r="B724" t="s">
        <v>386</v>
      </c>
      <c r="C724" t="s">
        <v>39</v>
      </c>
      <c r="D724">
        <v>11</v>
      </c>
      <c r="E724" t="s">
        <v>91</v>
      </c>
      <c r="F724" t="s">
        <v>92</v>
      </c>
    </row>
    <row r="725" spans="1:6" x14ac:dyDescent="0.3">
      <c r="A725" t="s">
        <v>1159</v>
      </c>
      <c r="B725" t="s">
        <v>715</v>
      </c>
      <c r="C725" t="s">
        <v>28</v>
      </c>
      <c r="D725">
        <v>9</v>
      </c>
      <c r="E725" t="s">
        <v>86</v>
      </c>
      <c r="F725" t="s">
        <v>83</v>
      </c>
    </row>
    <row r="726" spans="1:6" x14ac:dyDescent="0.3">
      <c r="A726" t="s">
        <v>1160</v>
      </c>
      <c r="B726" t="s">
        <v>849</v>
      </c>
      <c r="C726" t="s">
        <v>16</v>
      </c>
      <c r="D726">
        <v>14</v>
      </c>
      <c r="E726" t="s">
        <v>77</v>
      </c>
      <c r="F726" t="s">
        <v>92</v>
      </c>
    </row>
    <row r="727" spans="1:6" x14ac:dyDescent="0.3">
      <c r="A727" t="s">
        <v>1161</v>
      </c>
      <c r="B727" t="s">
        <v>1162</v>
      </c>
      <c r="C727" t="s">
        <v>33</v>
      </c>
      <c r="D727">
        <v>7</v>
      </c>
      <c r="E727" t="s">
        <v>86</v>
      </c>
      <c r="F727" t="s">
        <v>92</v>
      </c>
    </row>
    <row r="728" spans="1:6" x14ac:dyDescent="0.3">
      <c r="A728" t="s">
        <v>1163</v>
      </c>
      <c r="B728" t="s">
        <v>477</v>
      </c>
      <c r="C728" t="s">
        <v>165</v>
      </c>
      <c r="D728">
        <v>5</v>
      </c>
      <c r="E728" t="s">
        <v>91</v>
      </c>
      <c r="F728" t="s">
        <v>83</v>
      </c>
    </row>
    <row r="729" spans="1:6" x14ac:dyDescent="0.3">
      <c r="A729" t="s">
        <v>1164</v>
      </c>
      <c r="B729" t="s">
        <v>585</v>
      </c>
      <c r="C729" t="s">
        <v>31</v>
      </c>
      <c r="D729">
        <v>3</v>
      </c>
      <c r="E729" t="s">
        <v>91</v>
      </c>
      <c r="F729" t="s">
        <v>78</v>
      </c>
    </row>
    <row r="730" spans="1:6" x14ac:dyDescent="0.3">
      <c r="A730" t="s">
        <v>1165</v>
      </c>
      <c r="B730" t="s">
        <v>570</v>
      </c>
      <c r="C730" t="s">
        <v>28</v>
      </c>
      <c r="D730">
        <v>14</v>
      </c>
      <c r="E730" t="s">
        <v>91</v>
      </c>
      <c r="F730" t="s">
        <v>78</v>
      </c>
    </row>
    <row r="731" spans="1:6" x14ac:dyDescent="0.3">
      <c r="A731" t="s">
        <v>1166</v>
      </c>
      <c r="B731" t="s">
        <v>1167</v>
      </c>
      <c r="C731" t="s">
        <v>41</v>
      </c>
      <c r="D731">
        <v>11</v>
      </c>
      <c r="E731" t="s">
        <v>91</v>
      </c>
      <c r="F731" t="s">
        <v>78</v>
      </c>
    </row>
    <row r="732" spans="1:6" x14ac:dyDescent="0.3">
      <c r="A732" t="s">
        <v>1168</v>
      </c>
      <c r="B732" t="s">
        <v>134</v>
      </c>
      <c r="C732" t="s">
        <v>10</v>
      </c>
      <c r="D732">
        <v>2</v>
      </c>
      <c r="E732" t="s">
        <v>77</v>
      </c>
      <c r="F732" t="s">
        <v>83</v>
      </c>
    </row>
    <row r="733" spans="1:6" x14ac:dyDescent="0.3">
      <c r="A733" t="s">
        <v>1169</v>
      </c>
      <c r="B733" t="s">
        <v>238</v>
      </c>
      <c r="C733" t="s">
        <v>1170</v>
      </c>
      <c r="D733">
        <v>1</v>
      </c>
      <c r="E733" t="s">
        <v>91</v>
      </c>
      <c r="F733" t="s">
        <v>78</v>
      </c>
    </row>
    <row r="734" spans="1:6" x14ac:dyDescent="0.3">
      <c r="A734" t="s">
        <v>1171</v>
      </c>
      <c r="B734" t="s">
        <v>192</v>
      </c>
      <c r="C734" t="s">
        <v>52</v>
      </c>
      <c r="D734">
        <v>7</v>
      </c>
      <c r="E734" t="s">
        <v>91</v>
      </c>
      <c r="F734" t="s">
        <v>83</v>
      </c>
    </row>
    <row r="735" spans="1:6" x14ac:dyDescent="0.3">
      <c r="A735" t="s">
        <v>1172</v>
      </c>
      <c r="B735" t="s">
        <v>663</v>
      </c>
      <c r="C735" t="s">
        <v>66</v>
      </c>
      <c r="D735">
        <v>10</v>
      </c>
      <c r="E735" t="s">
        <v>82</v>
      </c>
      <c r="F735" t="s">
        <v>83</v>
      </c>
    </row>
    <row r="736" spans="1:6" x14ac:dyDescent="0.3">
      <c r="A736" t="s">
        <v>1173</v>
      </c>
      <c r="B736" t="s">
        <v>650</v>
      </c>
      <c r="C736" t="s">
        <v>14</v>
      </c>
      <c r="D736">
        <v>2</v>
      </c>
      <c r="E736" t="s">
        <v>82</v>
      </c>
      <c r="F736" t="s">
        <v>92</v>
      </c>
    </row>
    <row r="737" spans="1:6" x14ac:dyDescent="0.3">
      <c r="A737" t="s">
        <v>1174</v>
      </c>
      <c r="B737" t="s">
        <v>1175</v>
      </c>
      <c r="C737" t="s">
        <v>56</v>
      </c>
      <c r="D737">
        <v>4</v>
      </c>
      <c r="E737" t="s">
        <v>91</v>
      </c>
      <c r="F737" t="s">
        <v>92</v>
      </c>
    </row>
    <row r="738" spans="1:6" x14ac:dyDescent="0.3">
      <c r="A738" t="s">
        <v>1176</v>
      </c>
      <c r="B738" t="s">
        <v>815</v>
      </c>
      <c r="C738" t="s">
        <v>24</v>
      </c>
      <c r="D738">
        <v>13</v>
      </c>
      <c r="E738" t="s">
        <v>86</v>
      </c>
      <c r="F738" t="s">
        <v>92</v>
      </c>
    </row>
    <row r="739" spans="1:6" x14ac:dyDescent="0.3">
      <c r="A739" t="s">
        <v>1177</v>
      </c>
      <c r="B739" t="s">
        <v>85</v>
      </c>
      <c r="C739" t="s">
        <v>35</v>
      </c>
      <c r="D739">
        <v>4</v>
      </c>
      <c r="E739" t="s">
        <v>82</v>
      </c>
      <c r="F739" t="s">
        <v>78</v>
      </c>
    </row>
    <row r="740" spans="1:6" x14ac:dyDescent="0.3">
      <c r="A740" t="s">
        <v>1178</v>
      </c>
      <c r="B740" t="s">
        <v>333</v>
      </c>
      <c r="C740" t="s">
        <v>41</v>
      </c>
      <c r="D740">
        <v>6</v>
      </c>
      <c r="E740" t="s">
        <v>86</v>
      </c>
      <c r="F740" t="s">
        <v>83</v>
      </c>
    </row>
    <row r="741" spans="1:6" x14ac:dyDescent="0.3">
      <c r="A741" t="s">
        <v>1179</v>
      </c>
      <c r="B741" t="s">
        <v>862</v>
      </c>
      <c r="C741" t="s">
        <v>54</v>
      </c>
      <c r="D741">
        <v>3</v>
      </c>
      <c r="E741" t="s">
        <v>86</v>
      </c>
      <c r="F741" t="s">
        <v>78</v>
      </c>
    </row>
    <row r="742" spans="1:6" x14ac:dyDescent="0.3">
      <c r="A742" t="s">
        <v>1180</v>
      </c>
      <c r="B742" t="s">
        <v>1181</v>
      </c>
      <c r="C742" t="s">
        <v>39</v>
      </c>
      <c r="D742">
        <v>11</v>
      </c>
      <c r="E742" t="s">
        <v>86</v>
      </c>
      <c r="F742" t="s">
        <v>78</v>
      </c>
    </row>
    <row r="743" spans="1:6" x14ac:dyDescent="0.3">
      <c r="A743" t="s">
        <v>1182</v>
      </c>
      <c r="B743" t="s">
        <v>1183</v>
      </c>
      <c r="C743" t="s">
        <v>52</v>
      </c>
      <c r="D743">
        <v>9</v>
      </c>
      <c r="E743" t="s">
        <v>91</v>
      </c>
      <c r="F743" t="s">
        <v>78</v>
      </c>
    </row>
    <row r="744" spans="1:6" x14ac:dyDescent="0.3">
      <c r="A744" t="s">
        <v>1184</v>
      </c>
      <c r="B744" t="s">
        <v>876</v>
      </c>
      <c r="C744" t="s">
        <v>64</v>
      </c>
      <c r="D744">
        <v>2</v>
      </c>
      <c r="E744" t="s">
        <v>86</v>
      </c>
      <c r="F744" t="s">
        <v>83</v>
      </c>
    </row>
    <row r="745" spans="1:6" x14ac:dyDescent="0.3">
      <c r="A745" t="s">
        <v>1185</v>
      </c>
      <c r="B745" t="s">
        <v>809</v>
      </c>
      <c r="C745" t="s">
        <v>33</v>
      </c>
      <c r="D745">
        <v>13</v>
      </c>
      <c r="E745" t="s">
        <v>91</v>
      </c>
      <c r="F745" t="s">
        <v>92</v>
      </c>
    </row>
    <row r="746" spans="1:6" x14ac:dyDescent="0.3">
      <c r="A746" t="s">
        <v>1186</v>
      </c>
      <c r="B746" t="s">
        <v>678</v>
      </c>
      <c r="C746" t="s">
        <v>64</v>
      </c>
      <c r="D746">
        <v>11</v>
      </c>
      <c r="E746" t="s">
        <v>82</v>
      </c>
      <c r="F746" t="s">
        <v>78</v>
      </c>
    </row>
    <row r="747" spans="1:6" x14ac:dyDescent="0.3">
      <c r="A747" t="s">
        <v>1187</v>
      </c>
      <c r="B747" t="s">
        <v>203</v>
      </c>
      <c r="C747" t="s">
        <v>737</v>
      </c>
      <c r="D747">
        <v>8</v>
      </c>
      <c r="E747" t="s">
        <v>82</v>
      </c>
      <c r="F747" t="s">
        <v>78</v>
      </c>
    </row>
    <row r="748" spans="1:6" x14ac:dyDescent="0.3">
      <c r="A748" t="s">
        <v>1188</v>
      </c>
      <c r="B748" t="s">
        <v>1189</v>
      </c>
      <c r="C748" t="s">
        <v>68</v>
      </c>
      <c r="D748">
        <v>11</v>
      </c>
      <c r="E748" t="s">
        <v>86</v>
      </c>
      <c r="F748" t="s">
        <v>78</v>
      </c>
    </row>
    <row r="749" spans="1:6" x14ac:dyDescent="0.3">
      <c r="A749" t="s">
        <v>1190</v>
      </c>
      <c r="B749" t="s">
        <v>933</v>
      </c>
      <c r="C749" t="s">
        <v>52</v>
      </c>
      <c r="D749">
        <v>1</v>
      </c>
      <c r="E749" t="s">
        <v>82</v>
      </c>
      <c r="F749" t="s">
        <v>83</v>
      </c>
    </row>
    <row r="750" spans="1:6" x14ac:dyDescent="0.3">
      <c r="A750" t="s">
        <v>1191</v>
      </c>
      <c r="B750" t="s">
        <v>794</v>
      </c>
      <c r="C750" t="s">
        <v>54</v>
      </c>
      <c r="D750">
        <v>11</v>
      </c>
      <c r="E750" t="s">
        <v>82</v>
      </c>
      <c r="F750" t="s">
        <v>78</v>
      </c>
    </row>
    <row r="751" spans="1:6" x14ac:dyDescent="0.3">
      <c r="A751" t="s">
        <v>1192</v>
      </c>
      <c r="B751" t="s">
        <v>173</v>
      </c>
      <c r="C751" t="s">
        <v>54</v>
      </c>
      <c r="D751">
        <v>14</v>
      </c>
      <c r="E751" t="s">
        <v>82</v>
      </c>
      <c r="F751" t="s">
        <v>83</v>
      </c>
    </row>
    <row r="752" spans="1:6" x14ac:dyDescent="0.3">
      <c r="A752" t="s">
        <v>1193</v>
      </c>
      <c r="B752" t="s">
        <v>1194</v>
      </c>
      <c r="C752" t="s">
        <v>22</v>
      </c>
      <c r="D752">
        <v>12</v>
      </c>
      <c r="E752" t="s">
        <v>82</v>
      </c>
      <c r="F752" t="s">
        <v>83</v>
      </c>
    </row>
    <row r="753" spans="1:6" x14ac:dyDescent="0.3">
      <c r="A753" t="s">
        <v>1195</v>
      </c>
      <c r="B753" t="s">
        <v>1196</v>
      </c>
      <c r="C753" t="s">
        <v>33</v>
      </c>
      <c r="D753">
        <v>7</v>
      </c>
      <c r="E753" t="s">
        <v>86</v>
      </c>
      <c r="F753" t="s">
        <v>92</v>
      </c>
    </row>
    <row r="754" spans="1:6" x14ac:dyDescent="0.3">
      <c r="A754" t="s">
        <v>1197</v>
      </c>
      <c r="B754" t="s">
        <v>441</v>
      </c>
      <c r="C754" t="s">
        <v>18</v>
      </c>
      <c r="D754">
        <v>5</v>
      </c>
      <c r="E754" t="s">
        <v>82</v>
      </c>
      <c r="F754" t="s">
        <v>78</v>
      </c>
    </row>
    <row r="755" spans="1:6" x14ac:dyDescent="0.3">
      <c r="A755" t="s">
        <v>1198</v>
      </c>
      <c r="B755" t="s">
        <v>1199</v>
      </c>
      <c r="C755" t="s">
        <v>20</v>
      </c>
      <c r="D755">
        <v>13</v>
      </c>
      <c r="E755" t="s">
        <v>82</v>
      </c>
      <c r="F755" t="s">
        <v>83</v>
      </c>
    </row>
    <row r="756" spans="1:6" x14ac:dyDescent="0.3">
      <c r="A756" t="s">
        <v>1200</v>
      </c>
      <c r="B756" t="s">
        <v>404</v>
      </c>
      <c r="C756" t="s">
        <v>724</v>
      </c>
      <c r="D756">
        <v>4</v>
      </c>
      <c r="E756" t="s">
        <v>91</v>
      </c>
      <c r="F756" t="s">
        <v>83</v>
      </c>
    </row>
    <row r="757" spans="1:6" x14ac:dyDescent="0.3">
      <c r="A757" t="s">
        <v>1201</v>
      </c>
      <c r="B757" t="s">
        <v>269</v>
      </c>
      <c r="C757" t="s">
        <v>28</v>
      </c>
      <c r="D757">
        <v>8</v>
      </c>
      <c r="E757" t="s">
        <v>91</v>
      </c>
      <c r="F757" t="s">
        <v>92</v>
      </c>
    </row>
    <row r="758" spans="1:6" x14ac:dyDescent="0.3">
      <c r="A758" t="s">
        <v>1202</v>
      </c>
      <c r="B758" t="s">
        <v>794</v>
      </c>
      <c r="C758" t="s">
        <v>58</v>
      </c>
      <c r="D758">
        <v>12</v>
      </c>
      <c r="E758" t="s">
        <v>86</v>
      </c>
      <c r="F758" t="s">
        <v>83</v>
      </c>
    </row>
    <row r="759" spans="1:6" x14ac:dyDescent="0.3">
      <c r="A759" t="s">
        <v>1203</v>
      </c>
      <c r="B759" t="s">
        <v>330</v>
      </c>
      <c r="C759" t="s">
        <v>10</v>
      </c>
      <c r="D759">
        <v>6</v>
      </c>
      <c r="E759" t="s">
        <v>77</v>
      </c>
      <c r="F759" t="s">
        <v>83</v>
      </c>
    </row>
    <row r="760" spans="1:6" x14ac:dyDescent="0.3">
      <c r="A760" t="s">
        <v>1204</v>
      </c>
      <c r="B760" t="s">
        <v>107</v>
      </c>
      <c r="C760" t="s">
        <v>33</v>
      </c>
      <c r="D760">
        <v>9</v>
      </c>
      <c r="E760" t="s">
        <v>82</v>
      </c>
      <c r="F760" t="s">
        <v>92</v>
      </c>
    </row>
    <row r="761" spans="1:6" x14ac:dyDescent="0.3">
      <c r="A761" t="s">
        <v>1205</v>
      </c>
      <c r="B761" t="s">
        <v>720</v>
      </c>
      <c r="C761" t="s">
        <v>22</v>
      </c>
      <c r="D761">
        <v>7</v>
      </c>
      <c r="E761" t="s">
        <v>82</v>
      </c>
      <c r="F761" t="s">
        <v>78</v>
      </c>
    </row>
    <row r="762" spans="1:6" x14ac:dyDescent="0.3">
      <c r="A762" t="s">
        <v>1206</v>
      </c>
      <c r="B762" t="s">
        <v>118</v>
      </c>
      <c r="C762" t="s">
        <v>49</v>
      </c>
      <c r="D762">
        <v>6</v>
      </c>
      <c r="E762" t="s">
        <v>86</v>
      </c>
      <c r="F762" t="s">
        <v>78</v>
      </c>
    </row>
    <row r="763" spans="1:6" x14ac:dyDescent="0.3">
      <c r="A763" t="s">
        <v>1207</v>
      </c>
      <c r="B763" t="s">
        <v>551</v>
      </c>
      <c r="C763" t="s">
        <v>37</v>
      </c>
      <c r="D763">
        <v>8</v>
      </c>
      <c r="E763" t="s">
        <v>91</v>
      </c>
      <c r="F763" t="s">
        <v>83</v>
      </c>
    </row>
    <row r="764" spans="1:6" x14ac:dyDescent="0.3">
      <c r="A764" t="s">
        <v>1208</v>
      </c>
      <c r="B764" t="s">
        <v>885</v>
      </c>
      <c r="C764" t="s">
        <v>28</v>
      </c>
      <c r="D764">
        <v>12</v>
      </c>
      <c r="E764" t="s">
        <v>82</v>
      </c>
      <c r="F764" t="s">
        <v>92</v>
      </c>
    </row>
    <row r="765" spans="1:6" x14ac:dyDescent="0.3">
      <c r="A765" t="s">
        <v>1209</v>
      </c>
      <c r="B765" t="s">
        <v>80</v>
      </c>
      <c r="C765" t="s">
        <v>937</v>
      </c>
      <c r="D765">
        <v>11</v>
      </c>
      <c r="E765" t="s">
        <v>82</v>
      </c>
      <c r="F765" t="s">
        <v>78</v>
      </c>
    </row>
    <row r="766" spans="1:6" x14ac:dyDescent="0.3">
      <c r="A766" t="s">
        <v>1210</v>
      </c>
      <c r="B766" t="s">
        <v>311</v>
      </c>
      <c r="C766" t="s">
        <v>14</v>
      </c>
      <c r="D766">
        <v>14</v>
      </c>
      <c r="E766" t="s">
        <v>91</v>
      </c>
      <c r="F766" t="s">
        <v>92</v>
      </c>
    </row>
    <row r="767" spans="1:6" x14ac:dyDescent="0.3">
      <c r="A767" t="s">
        <v>1211</v>
      </c>
      <c r="B767" t="s">
        <v>104</v>
      </c>
      <c r="C767" t="s">
        <v>1212</v>
      </c>
      <c r="D767">
        <v>10</v>
      </c>
      <c r="E767" t="s">
        <v>86</v>
      </c>
      <c r="F767" t="s">
        <v>92</v>
      </c>
    </row>
    <row r="768" spans="1:6" x14ac:dyDescent="0.3">
      <c r="A768" t="s">
        <v>1213</v>
      </c>
      <c r="B768" t="s">
        <v>241</v>
      </c>
      <c r="C768" t="s">
        <v>41</v>
      </c>
      <c r="D768">
        <v>4</v>
      </c>
      <c r="E768" t="s">
        <v>86</v>
      </c>
      <c r="F768" t="s">
        <v>78</v>
      </c>
    </row>
    <row r="769" spans="1:6" x14ac:dyDescent="0.3">
      <c r="A769" t="s">
        <v>1214</v>
      </c>
      <c r="B769" t="s">
        <v>1215</v>
      </c>
      <c r="C769" t="s">
        <v>12</v>
      </c>
      <c r="D769">
        <v>6</v>
      </c>
      <c r="E769" t="s">
        <v>82</v>
      </c>
      <c r="F769" t="s">
        <v>78</v>
      </c>
    </row>
    <row r="770" spans="1:6" x14ac:dyDescent="0.3">
      <c r="A770" t="s">
        <v>1216</v>
      </c>
      <c r="B770" t="s">
        <v>179</v>
      </c>
      <c r="C770" t="s">
        <v>7</v>
      </c>
      <c r="D770">
        <v>12</v>
      </c>
      <c r="E770" t="s">
        <v>82</v>
      </c>
      <c r="F770" t="s">
        <v>92</v>
      </c>
    </row>
    <row r="771" spans="1:6" x14ac:dyDescent="0.3">
      <c r="A771" t="s">
        <v>1217</v>
      </c>
      <c r="B771" t="s">
        <v>507</v>
      </c>
      <c r="C771" t="s">
        <v>22</v>
      </c>
      <c r="D771">
        <v>14</v>
      </c>
      <c r="E771" t="s">
        <v>86</v>
      </c>
      <c r="F771" t="s">
        <v>92</v>
      </c>
    </row>
    <row r="772" spans="1:6" x14ac:dyDescent="0.3">
      <c r="A772" t="s">
        <v>1218</v>
      </c>
      <c r="B772" t="s">
        <v>422</v>
      </c>
      <c r="C772" t="s">
        <v>47</v>
      </c>
      <c r="D772">
        <v>13</v>
      </c>
      <c r="E772" t="s">
        <v>82</v>
      </c>
      <c r="F772" t="s">
        <v>92</v>
      </c>
    </row>
    <row r="773" spans="1:6" x14ac:dyDescent="0.3">
      <c r="A773" t="s">
        <v>1219</v>
      </c>
      <c r="B773" t="s">
        <v>155</v>
      </c>
      <c r="C773" t="s">
        <v>49</v>
      </c>
      <c r="D773">
        <v>10</v>
      </c>
      <c r="E773" t="s">
        <v>86</v>
      </c>
      <c r="F773" t="s">
        <v>92</v>
      </c>
    </row>
    <row r="774" spans="1:6" x14ac:dyDescent="0.3">
      <c r="A774" t="s">
        <v>1220</v>
      </c>
      <c r="B774" t="s">
        <v>524</v>
      </c>
      <c r="C774" t="s">
        <v>49</v>
      </c>
      <c r="D774">
        <v>2</v>
      </c>
      <c r="E774" t="s">
        <v>91</v>
      </c>
      <c r="F774" t="s">
        <v>78</v>
      </c>
    </row>
    <row r="775" spans="1:6" x14ac:dyDescent="0.3">
      <c r="A775" t="s">
        <v>1221</v>
      </c>
      <c r="B775" t="s">
        <v>1222</v>
      </c>
      <c r="C775" t="s">
        <v>37</v>
      </c>
      <c r="D775">
        <v>5</v>
      </c>
      <c r="E775" t="s">
        <v>77</v>
      </c>
      <c r="F775" t="s">
        <v>83</v>
      </c>
    </row>
    <row r="776" spans="1:6" x14ac:dyDescent="0.3">
      <c r="A776" t="s">
        <v>1223</v>
      </c>
      <c r="B776" t="s">
        <v>555</v>
      </c>
      <c r="C776" t="s">
        <v>7</v>
      </c>
      <c r="D776">
        <v>4</v>
      </c>
      <c r="E776" t="s">
        <v>91</v>
      </c>
      <c r="F776" t="s">
        <v>78</v>
      </c>
    </row>
    <row r="777" spans="1:6" x14ac:dyDescent="0.3">
      <c r="A777" t="s">
        <v>1224</v>
      </c>
      <c r="B777" t="s">
        <v>544</v>
      </c>
      <c r="C777" t="s">
        <v>43</v>
      </c>
      <c r="D777">
        <v>6</v>
      </c>
      <c r="E777" t="s">
        <v>86</v>
      </c>
      <c r="F777" t="s">
        <v>78</v>
      </c>
    </row>
    <row r="778" spans="1:6" x14ac:dyDescent="0.3">
      <c r="A778" t="s">
        <v>1225</v>
      </c>
      <c r="B778" t="s">
        <v>1226</v>
      </c>
      <c r="C778" t="s">
        <v>64</v>
      </c>
      <c r="D778">
        <v>6</v>
      </c>
      <c r="E778" t="s">
        <v>91</v>
      </c>
      <c r="F778" t="s">
        <v>92</v>
      </c>
    </row>
    <row r="779" spans="1:6" x14ac:dyDescent="0.3">
      <c r="A779" t="s">
        <v>1227</v>
      </c>
      <c r="B779" t="s">
        <v>94</v>
      </c>
      <c r="C779" t="s">
        <v>18</v>
      </c>
      <c r="D779">
        <v>3</v>
      </c>
      <c r="E779" t="s">
        <v>91</v>
      </c>
      <c r="F779" t="s">
        <v>78</v>
      </c>
    </row>
    <row r="780" spans="1:6" x14ac:dyDescent="0.3">
      <c r="A780" t="s">
        <v>1228</v>
      </c>
      <c r="B780" t="s">
        <v>564</v>
      </c>
      <c r="C780" t="s">
        <v>62</v>
      </c>
      <c r="D780">
        <v>1</v>
      </c>
      <c r="E780" t="s">
        <v>91</v>
      </c>
      <c r="F780" t="s">
        <v>83</v>
      </c>
    </row>
    <row r="781" spans="1:6" x14ac:dyDescent="0.3">
      <c r="A781" t="s">
        <v>1229</v>
      </c>
      <c r="B781" t="s">
        <v>585</v>
      </c>
      <c r="C781" t="s">
        <v>14</v>
      </c>
      <c r="D781">
        <v>6</v>
      </c>
      <c r="E781" t="s">
        <v>91</v>
      </c>
      <c r="F781" t="s">
        <v>92</v>
      </c>
    </row>
    <row r="782" spans="1:6" x14ac:dyDescent="0.3">
      <c r="A782" t="s">
        <v>1230</v>
      </c>
      <c r="B782" t="s">
        <v>540</v>
      </c>
      <c r="C782" t="s">
        <v>18</v>
      </c>
      <c r="D782">
        <v>8</v>
      </c>
      <c r="E782" t="s">
        <v>82</v>
      </c>
      <c r="F782" t="s">
        <v>92</v>
      </c>
    </row>
    <row r="783" spans="1:6" x14ac:dyDescent="0.3">
      <c r="A783" t="s">
        <v>1231</v>
      </c>
      <c r="B783" t="s">
        <v>220</v>
      </c>
      <c r="C783" t="s">
        <v>26</v>
      </c>
      <c r="D783">
        <v>4</v>
      </c>
      <c r="E783" t="s">
        <v>77</v>
      </c>
      <c r="F783" t="s">
        <v>83</v>
      </c>
    </row>
    <row r="784" spans="1:6" x14ac:dyDescent="0.3">
      <c r="A784" t="s">
        <v>1232</v>
      </c>
      <c r="B784" t="s">
        <v>650</v>
      </c>
      <c r="C784" t="s">
        <v>16</v>
      </c>
      <c r="D784">
        <v>2</v>
      </c>
      <c r="E784" t="s">
        <v>91</v>
      </c>
      <c r="F784" t="s">
        <v>83</v>
      </c>
    </row>
    <row r="785" spans="1:6" x14ac:dyDescent="0.3">
      <c r="A785" t="s">
        <v>1233</v>
      </c>
      <c r="B785" t="s">
        <v>1024</v>
      </c>
      <c r="C785" t="s">
        <v>24</v>
      </c>
      <c r="D785">
        <v>1</v>
      </c>
      <c r="E785" t="s">
        <v>82</v>
      </c>
      <c r="F785" t="s">
        <v>92</v>
      </c>
    </row>
    <row r="786" spans="1:6" x14ac:dyDescent="0.3">
      <c r="A786" t="s">
        <v>1234</v>
      </c>
      <c r="B786" t="s">
        <v>1235</v>
      </c>
      <c r="C786" t="s">
        <v>49</v>
      </c>
      <c r="D786">
        <v>13</v>
      </c>
      <c r="E786" t="s">
        <v>82</v>
      </c>
      <c r="F786" t="s">
        <v>92</v>
      </c>
    </row>
    <row r="787" spans="1:6" x14ac:dyDescent="0.3">
      <c r="A787" t="s">
        <v>1236</v>
      </c>
      <c r="B787" t="s">
        <v>660</v>
      </c>
      <c r="C787" t="s">
        <v>58</v>
      </c>
      <c r="D787">
        <v>2</v>
      </c>
      <c r="E787" t="s">
        <v>77</v>
      </c>
      <c r="F787" t="s">
        <v>92</v>
      </c>
    </row>
    <row r="788" spans="1:6" x14ac:dyDescent="0.3">
      <c r="A788" t="s">
        <v>1237</v>
      </c>
      <c r="B788" t="s">
        <v>1105</v>
      </c>
      <c r="C788" t="s">
        <v>41</v>
      </c>
      <c r="D788">
        <v>9</v>
      </c>
      <c r="E788" t="s">
        <v>86</v>
      </c>
      <c r="F788" t="s">
        <v>78</v>
      </c>
    </row>
    <row r="789" spans="1:6" x14ac:dyDescent="0.3">
      <c r="A789" t="s">
        <v>1238</v>
      </c>
      <c r="B789" t="s">
        <v>454</v>
      </c>
      <c r="C789" t="s">
        <v>41</v>
      </c>
      <c r="D789">
        <v>13</v>
      </c>
      <c r="E789" t="s">
        <v>77</v>
      </c>
      <c r="F789" t="s">
        <v>83</v>
      </c>
    </row>
    <row r="790" spans="1:6" x14ac:dyDescent="0.3">
      <c r="A790" t="s">
        <v>1239</v>
      </c>
      <c r="B790" t="s">
        <v>196</v>
      </c>
      <c r="C790" t="s">
        <v>472</v>
      </c>
      <c r="D790">
        <v>6</v>
      </c>
      <c r="E790" t="s">
        <v>91</v>
      </c>
      <c r="F790" t="s">
        <v>83</v>
      </c>
    </row>
    <row r="791" spans="1:6" x14ac:dyDescent="0.3">
      <c r="A791" t="s">
        <v>1240</v>
      </c>
      <c r="B791" t="s">
        <v>1108</v>
      </c>
      <c r="C791" t="s">
        <v>16</v>
      </c>
      <c r="D791">
        <v>8</v>
      </c>
      <c r="E791" t="s">
        <v>77</v>
      </c>
      <c r="F791" t="s">
        <v>92</v>
      </c>
    </row>
    <row r="792" spans="1:6" x14ac:dyDescent="0.3">
      <c r="A792" t="s">
        <v>1241</v>
      </c>
      <c r="B792" t="s">
        <v>100</v>
      </c>
      <c r="C792" t="s">
        <v>54</v>
      </c>
      <c r="D792">
        <v>2</v>
      </c>
      <c r="E792" t="s">
        <v>77</v>
      </c>
      <c r="F792" t="s">
        <v>92</v>
      </c>
    </row>
    <row r="793" spans="1:6" x14ac:dyDescent="0.3">
      <c r="A793" t="s">
        <v>1242</v>
      </c>
      <c r="B793" t="s">
        <v>225</v>
      </c>
      <c r="C793" t="s">
        <v>26</v>
      </c>
      <c r="D793">
        <v>3</v>
      </c>
      <c r="E793" t="s">
        <v>86</v>
      </c>
      <c r="F793" t="s">
        <v>92</v>
      </c>
    </row>
    <row r="794" spans="1:6" x14ac:dyDescent="0.3">
      <c r="A794" t="s">
        <v>1243</v>
      </c>
      <c r="B794" t="s">
        <v>658</v>
      </c>
      <c r="C794" t="s">
        <v>18</v>
      </c>
      <c r="D794">
        <v>11</v>
      </c>
      <c r="E794" t="s">
        <v>82</v>
      </c>
      <c r="F794" t="s">
        <v>78</v>
      </c>
    </row>
    <row r="795" spans="1:6" x14ac:dyDescent="0.3">
      <c r="A795" t="s">
        <v>1244</v>
      </c>
      <c r="B795" t="s">
        <v>783</v>
      </c>
      <c r="C795" t="s">
        <v>37</v>
      </c>
      <c r="D795">
        <v>4</v>
      </c>
      <c r="E795" t="s">
        <v>91</v>
      </c>
      <c r="F795" t="s">
        <v>78</v>
      </c>
    </row>
    <row r="796" spans="1:6" x14ac:dyDescent="0.3">
      <c r="A796" t="s">
        <v>1245</v>
      </c>
      <c r="B796" t="s">
        <v>94</v>
      </c>
      <c r="C796" t="s">
        <v>1246</v>
      </c>
      <c r="D796">
        <v>12</v>
      </c>
      <c r="E796" t="s">
        <v>91</v>
      </c>
      <c r="F796" t="s">
        <v>92</v>
      </c>
    </row>
    <row r="797" spans="1:6" x14ac:dyDescent="0.3">
      <c r="A797" t="s">
        <v>1247</v>
      </c>
      <c r="B797" t="s">
        <v>1248</v>
      </c>
      <c r="C797" t="s">
        <v>37</v>
      </c>
      <c r="D797">
        <v>9</v>
      </c>
      <c r="E797" t="s">
        <v>82</v>
      </c>
      <c r="F797" t="s">
        <v>78</v>
      </c>
    </row>
    <row r="798" spans="1:6" x14ac:dyDescent="0.3">
      <c r="A798" t="s">
        <v>1249</v>
      </c>
      <c r="B798" t="s">
        <v>374</v>
      </c>
      <c r="C798" t="s">
        <v>355</v>
      </c>
      <c r="D798">
        <v>10</v>
      </c>
      <c r="E798" t="s">
        <v>77</v>
      </c>
      <c r="F798" t="s">
        <v>78</v>
      </c>
    </row>
    <row r="799" spans="1:6" x14ac:dyDescent="0.3">
      <c r="A799" t="s">
        <v>1250</v>
      </c>
      <c r="B799" t="s">
        <v>512</v>
      </c>
      <c r="C799" t="s">
        <v>58</v>
      </c>
      <c r="D799">
        <v>5</v>
      </c>
      <c r="E799" t="s">
        <v>86</v>
      </c>
      <c r="F799" t="s">
        <v>83</v>
      </c>
    </row>
    <row r="800" spans="1:6" x14ac:dyDescent="0.3">
      <c r="A800" t="s">
        <v>1251</v>
      </c>
      <c r="B800" t="s">
        <v>167</v>
      </c>
      <c r="C800" t="s">
        <v>209</v>
      </c>
      <c r="D800">
        <v>14</v>
      </c>
      <c r="E800" t="s">
        <v>77</v>
      </c>
      <c r="F800" t="s">
        <v>83</v>
      </c>
    </row>
    <row r="801" spans="1:6" x14ac:dyDescent="0.3">
      <c r="A801" t="s">
        <v>1252</v>
      </c>
      <c r="B801" t="s">
        <v>104</v>
      </c>
      <c r="C801" t="s">
        <v>64</v>
      </c>
      <c r="D801">
        <v>13</v>
      </c>
      <c r="E801" t="s">
        <v>86</v>
      </c>
      <c r="F801" t="s">
        <v>83</v>
      </c>
    </row>
    <row r="802" spans="1:6" x14ac:dyDescent="0.3">
      <c r="A802" t="s">
        <v>1253</v>
      </c>
      <c r="B802" t="s">
        <v>499</v>
      </c>
      <c r="C802" t="s">
        <v>355</v>
      </c>
      <c r="D802">
        <v>10</v>
      </c>
      <c r="E802" t="s">
        <v>86</v>
      </c>
      <c r="F802" t="s">
        <v>92</v>
      </c>
    </row>
    <row r="803" spans="1:6" x14ac:dyDescent="0.3">
      <c r="A803" t="s">
        <v>1254</v>
      </c>
      <c r="B803" t="s">
        <v>1255</v>
      </c>
      <c r="C803" t="s">
        <v>33</v>
      </c>
      <c r="D803">
        <v>12</v>
      </c>
      <c r="E803" t="s">
        <v>91</v>
      </c>
      <c r="F803" t="s">
        <v>92</v>
      </c>
    </row>
    <row r="804" spans="1:6" x14ac:dyDescent="0.3">
      <c r="A804" t="s">
        <v>1256</v>
      </c>
      <c r="B804" t="s">
        <v>794</v>
      </c>
      <c r="C804" t="s">
        <v>355</v>
      </c>
      <c r="D804">
        <v>6</v>
      </c>
      <c r="E804" t="s">
        <v>77</v>
      </c>
      <c r="F804" t="s">
        <v>78</v>
      </c>
    </row>
    <row r="805" spans="1:6" x14ac:dyDescent="0.3">
      <c r="A805" t="s">
        <v>1257</v>
      </c>
      <c r="B805" t="s">
        <v>1258</v>
      </c>
      <c r="C805" t="s">
        <v>52</v>
      </c>
      <c r="D805">
        <v>1</v>
      </c>
      <c r="E805" t="s">
        <v>77</v>
      </c>
      <c r="F805" t="s">
        <v>78</v>
      </c>
    </row>
    <row r="806" spans="1:6" x14ac:dyDescent="0.3">
      <c r="A806" t="s">
        <v>1259</v>
      </c>
      <c r="B806" t="s">
        <v>625</v>
      </c>
      <c r="C806" t="s">
        <v>119</v>
      </c>
      <c r="D806">
        <v>8</v>
      </c>
      <c r="E806" t="s">
        <v>86</v>
      </c>
      <c r="F806" t="s">
        <v>83</v>
      </c>
    </row>
    <row r="807" spans="1:6" x14ac:dyDescent="0.3">
      <c r="A807" t="s">
        <v>1260</v>
      </c>
      <c r="B807" t="s">
        <v>80</v>
      </c>
      <c r="C807" t="s">
        <v>52</v>
      </c>
      <c r="D807">
        <v>8</v>
      </c>
      <c r="E807" t="s">
        <v>86</v>
      </c>
      <c r="F807" t="s">
        <v>78</v>
      </c>
    </row>
    <row r="808" spans="1:6" x14ac:dyDescent="0.3">
      <c r="A808" t="s">
        <v>1261</v>
      </c>
      <c r="B808" t="s">
        <v>660</v>
      </c>
      <c r="C808" t="s">
        <v>18</v>
      </c>
      <c r="D808">
        <v>1</v>
      </c>
      <c r="E808" t="s">
        <v>82</v>
      </c>
      <c r="F808" t="s">
        <v>92</v>
      </c>
    </row>
    <row r="809" spans="1:6" x14ac:dyDescent="0.3">
      <c r="A809" t="s">
        <v>1262</v>
      </c>
      <c r="B809" t="s">
        <v>830</v>
      </c>
      <c r="C809" t="s">
        <v>66</v>
      </c>
      <c r="D809">
        <v>3</v>
      </c>
      <c r="E809" t="s">
        <v>82</v>
      </c>
      <c r="F809" t="s">
        <v>78</v>
      </c>
    </row>
    <row r="810" spans="1:6" x14ac:dyDescent="0.3">
      <c r="A810" t="s">
        <v>1263</v>
      </c>
      <c r="B810" t="s">
        <v>996</v>
      </c>
      <c r="C810" t="s">
        <v>43</v>
      </c>
      <c r="D810">
        <v>13</v>
      </c>
      <c r="E810" t="s">
        <v>82</v>
      </c>
      <c r="F810" t="s">
        <v>83</v>
      </c>
    </row>
    <row r="811" spans="1:6" x14ac:dyDescent="0.3">
      <c r="A811" t="s">
        <v>1264</v>
      </c>
      <c r="B811" t="s">
        <v>1222</v>
      </c>
      <c r="C811" t="s">
        <v>60</v>
      </c>
      <c r="D811">
        <v>5</v>
      </c>
      <c r="E811" t="s">
        <v>86</v>
      </c>
      <c r="F811" t="s">
        <v>92</v>
      </c>
    </row>
    <row r="812" spans="1:6" x14ac:dyDescent="0.3">
      <c r="A812" t="s">
        <v>1265</v>
      </c>
      <c r="B812" t="s">
        <v>104</v>
      </c>
      <c r="C812" t="s">
        <v>43</v>
      </c>
      <c r="D812">
        <v>10</v>
      </c>
      <c r="E812" t="s">
        <v>82</v>
      </c>
      <c r="F812" t="s">
        <v>83</v>
      </c>
    </row>
    <row r="813" spans="1:6" x14ac:dyDescent="0.3">
      <c r="A813" t="s">
        <v>1266</v>
      </c>
      <c r="B813" t="s">
        <v>502</v>
      </c>
      <c r="C813" t="s">
        <v>64</v>
      </c>
      <c r="D813">
        <v>13</v>
      </c>
      <c r="E813" t="s">
        <v>86</v>
      </c>
      <c r="F813" t="s">
        <v>78</v>
      </c>
    </row>
    <row r="814" spans="1:6" x14ac:dyDescent="0.3">
      <c r="A814" t="s">
        <v>1267</v>
      </c>
      <c r="B814" t="s">
        <v>668</v>
      </c>
      <c r="C814" t="s">
        <v>24</v>
      </c>
      <c r="D814">
        <v>2</v>
      </c>
      <c r="E814" t="s">
        <v>82</v>
      </c>
      <c r="F814" t="s">
        <v>83</v>
      </c>
    </row>
    <row r="815" spans="1:6" x14ac:dyDescent="0.3">
      <c r="A815" t="s">
        <v>1268</v>
      </c>
      <c r="B815" t="s">
        <v>1269</v>
      </c>
      <c r="C815" t="s">
        <v>64</v>
      </c>
      <c r="D815">
        <v>3</v>
      </c>
      <c r="E815" t="s">
        <v>86</v>
      </c>
      <c r="F815" t="s">
        <v>78</v>
      </c>
    </row>
    <row r="816" spans="1:6" x14ac:dyDescent="0.3">
      <c r="A816" t="s">
        <v>1270</v>
      </c>
      <c r="B816" t="s">
        <v>370</v>
      </c>
      <c r="C816" t="s">
        <v>463</v>
      </c>
      <c r="D816">
        <v>4</v>
      </c>
      <c r="E816" t="s">
        <v>77</v>
      </c>
      <c r="F816" t="s">
        <v>83</v>
      </c>
    </row>
    <row r="817" spans="1:6" x14ac:dyDescent="0.3">
      <c r="A817" t="s">
        <v>1271</v>
      </c>
      <c r="B817" t="s">
        <v>401</v>
      </c>
      <c r="C817" t="s">
        <v>43</v>
      </c>
      <c r="D817">
        <v>9</v>
      </c>
      <c r="E817" t="s">
        <v>82</v>
      </c>
      <c r="F817" t="s">
        <v>78</v>
      </c>
    </row>
    <row r="818" spans="1:6" x14ac:dyDescent="0.3">
      <c r="A818" t="s">
        <v>1272</v>
      </c>
      <c r="B818" t="s">
        <v>846</v>
      </c>
      <c r="C818" t="s">
        <v>26</v>
      </c>
      <c r="D818">
        <v>11</v>
      </c>
      <c r="E818" t="s">
        <v>91</v>
      </c>
      <c r="F818" t="s">
        <v>78</v>
      </c>
    </row>
    <row r="819" spans="1:6" x14ac:dyDescent="0.3">
      <c r="A819" t="s">
        <v>1273</v>
      </c>
      <c r="B819" t="s">
        <v>118</v>
      </c>
      <c r="C819" t="s">
        <v>39</v>
      </c>
      <c r="D819">
        <v>10</v>
      </c>
      <c r="E819" t="s">
        <v>82</v>
      </c>
      <c r="F819" t="s">
        <v>92</v>
      </c>
    </row>
    <row r="820" spans="1:6" x14ac:dyDescent="0.3">
      <c r="A820" t="s">
        <v>1274</v>
      </c>
      <c r="B820" t="s">
        <v>102</v>
      </c>
      <c r="C820" t="s">
        <v>24</v>
      </c>
      <c r="D820">
        <v>7</v>
      </c>
      <c r="E820" t="s">
        <v>91</v>
      </c>
      <c r="F820" t="s">
        <v>83</v>
      </c>
    </row>
    <row r="821" spans="1:6" x14ac:dyDescent="0.3">
      <c r="A821" t="s">
        <v>1275</v>
      </c>
      <c r="B821" t="s">
        <v>652</v>
      </c>
      <c r="C821" t="s">
        <v>24</v>
      </c>
      <c r="D821">
        <v>4</v>
      </c>
      <c r="E821" t="s">
        <v>91</v>
      </c>
      <c r="F821" t="s">
        <v>83</v>
      </c>
    </row>
    <row r="822" spans="1:6" x14ac:dyDescent="0.3">
      <c r="A822" t="s">
        <v>1276</v>
      </c>
      <c r="B822" t="s">
        <v>1157</v>
      </c>
      <c r="C822" t="s">
        <v>47</v>
      </c>
      <c r="D822">
        <v>9</v>
      </c>
      <c r="E822" t="s">
        <v>86</v>
      </c>
      <c r="F822" t="s">
        <v>78</v>
      </c>
    </row>
    <row r="823" spans="1:6" x14ac:dyDescent="0.3">
      <c r="A823" t="s">
        <v>1277</v>
      </c>
      <c r="B823" t="s">
        <v>408</v>
      </c>
      <c r="C823" t="s">
        <v>35</v>
      </c>
      <c r="D823">
        <v>3</v>
      </c>
      <c r="E823" t="s">
        <v>91</v>
      </c>
      <c r="F823" t="s">
        <v>78</v>
      </c>
    </row>
    <row r="824" spans="1:6" x14ac:dyDescent="0.3">
      <c r="A824" t="s">
        <v>1278</v>
      </c>
      <c r="B824" t="s">
        <v>309</v>
      </c>
      <c r="C824" t="s">
        <v>165</v>
      </c>
      <c r="D824">
        <v>5</v>
      </c>
      <c r="E824" t="s">
        <v>77</v>
      </c>
      <c r="F824" t="s">
        <v>78</v>
      </c>
    </row>
    <row r="825" spans="1:6" x14ac:dyDescent="0.3">
      <c r="A825" t="s">
        <v>1279</v>
      </c>
      <c r="B825" t="s">
        <v>192</v>
      </c>
      <c r="C825" t="s">
        <v>45</v>
      </c>
      <c r="D825">
        <v>1</v>
      </c>
      <c r="E825" t="s">
        <v>86</v>
      </c>
      <c r="F825" t="s">
        <v>92</v>
      </c>
    </row>
    <row r="826" spans="1:6" x14ac:dyDescent="0.3">
      <c r="A826" t="s">
        <v>1280</v>
      </c>
      <c r="B826" t="s">
        <v>1027</v>
      </c>
      <c r="C826" t="s">
        <v>26</v>
      </c>
      <c r="D826">
        <v>7</v>
      </c>
      <c r="E826" t="s">
        <v>77</v>
      </c>
      <c r="F826" t="s">
        <v>78</v>
      </c>
    </row>
    <row r="827" spans="1:6" x14ac:dyDescent="0.3">
      <c r="A827" t="s">
        <v>1281</v>
      </c>
      <c r="B827" t="s">
        <v>852</v>
      </c>
      <c r="C827" t="s">
        <v>60</v>
      </c>
      <c r="D827">
        <v>3</v>
      </c>
      <c r="E827" t="s">
        <v>86</v>
      </c>
      <c r="F827" t="s">
        <v>92</v>
      </c>
    </row>
    <row r="828" spans="1:6" x14ac:dyDescent="0.3">
      <c r="A828" t="s">
        <v>1282</v>
      </c>
      <c r="B828" t="s">
        <v>419</v>
      </c>
      <c r="C828" t="s">
        <v>47</v>
      </c>
      <c r="D828">
        <v>2</v>
      </c>
      <c r="E828" t="s">
        <v>91</v>
      </c>
      <c r="F828" t="s">
        <v>92</v>
      </c>
    </row>
    <row r="829" spans="1:6" x14ac:dyDescent="0.3">
      <c r="A829" t="s">
        <v>1283</v>
      </c>
      <c r="B829" t="s">
        <v>460</v>
      </c>
      <c r="C829" t="s">
        <v>472</v>
      </c>
      <c r="D829">
        <v>2</v>
      </c>
      <c r="E829" t="s">
        <v>77</v>
      </c>
      <c r="F829" t="s">
        <v>83</v>
      </c>
    </row>
    <row r="830" spans="1:6" x14ac:dyDescent="0.3">
      <c r="A830" t="s">
        <v>1284</v>
      </c>
      <c r="B830" t="s">
        <v>187</v>
      </c>
      <c r="C830" t="s">
        <v>119</v>
      </c>
      <c r="D830">
        <v>13</v>
      </c>
      <c r="E830" t="s">
        <v>77</v>
      </c>
      <c r="F830" t="s">
        <v>92</v>
      </c>
    </row>
    <row r="831" spans="1:6" x14ac:dyDescent="0.3">
      <c r="A831" t="s">
        <v>1285</v>
      </c>
      <c r="B831" t="s">
        <v>686</v>
      </c>
      <c r="C831" t="s">
        <v>39</v>
      </c>
      <c r="D831">
        <v>1</v>
      </c>
      <c r="E831" t="s">
        <v>86</v>
      </c>
      <c r="F831" t="s">
        <v>83</v>
      </c>
    </row>
    <row r="832" spans="1:6" x14ac:dyDescent="0.3">
      <c r="A832" t="s">
        <v>1286</v>
      </c>
      <c r="B832" t="s">
        <v>205</v>
      </c>
      <c r="C832" t="s">
        <v>22</v>
      </c>
      <c r="D832">
        <v>13</v>
      </c>
      <c r="E832" t="s">
        <v>82</v>
      </c>
      <c r="F832" t="s">
        <v>78</v>
      </c>
    </row>
    <row r="833" spans="1:6" x14ac:dyDescent="0.3">
      <c r="A833" t="s">
        <v>1287</v>
      </c>
      <c r="B833" t="s">
        <v>1269</v>
      </c>
      <c r="C833" t="s">
        <v>64</v>
      </c>
      <c r="D833">
        <v>4</v>
      </c>
      <c r="E833" t="s">
        <v>82</v>
      </c>
      <c r="F833" t="s">
        <v>92</v>
      </c>
    </row>
    <row r="834" spans="1:6" x14ac:dyDescent="0.3">
      <c r="A834" t="s">
        <v>1288</v>
      </c>
      <c r="B834" t="s">
        <v>115</v>
      </c>
      <c r="C834" t="s">
        <v>43</v>
      </c>
      <c r="D834">
        <v>7</v>
      </c>
      <c r="E834" t="s">
        <v>91</v>
      </c>
      <c r="F834" t="s">
        <v>83</v>
      </c>
    </row>
    <row r="835" spans="1:6" x14ac:dyDescent="0.3">
      <c r="A835" t="s">
        <v>1289</v>
      </c>
      <c r="B835" t="s">
        <v>551</v>
      </c>
      <c r="C835" t="s">
        <v>49</v>
      </c>
      <c r="D835">
        <v>8</v>
      </c>
      <c r="E835" t="s">
        <v>77</v>
      </c>
      <c r="F835" t="s">
        <v>83</v>
      </c>
    </row>
    <row r="836" spans="1:6" x14ac:dyDescent="0.3">
      <c r="A836" t="s">
        <v>1290</v>
      </c>
      <c r="B836" t="s">
        <v>248</v>
      </c>
      <c r="C836" t="s">
        <v>43</v>
      </c>
      <c r="D836">
        <v>10</v>
      </c>
      <c r="E836" t="s">
        <v>77</v>
      </c>
      <c r="F836" t="s">
        <v>78</v>
      </c>
    </row>
    <row r="837" spans="1:6" x14ac:dyDescent="0.3">
      <c r="A837" t="s">
        <v>1291</v>
      </c>
      <c r="B837" t="s">
        <v>431</v>
      </c>
      <c r="C837" t="s">
        <v>62</v>
      </c>
      <c r="D837">
        <v>8</v>
      </c>
      <c r="E837" t="s">
        <v>91</v>
      </c>
      <c r="F837" t="s">
        <v>78</v>
      </c>
    </row>
    <row r="838" spans="1:6" x14ac:dyDescent="0.3">
      <c r="A838" t="s">
        <v>1292</v>
      </c>
      <c r="B838" t="s">
        <v>593</v>
      </c>
      <c r="C838" t="s">
        <v>56</v>
      </c>
      <c r="D838">
        <v>10</v>
      </c>
      <c r="E838" t="s">
        <v>91</v>
      </c>
      <c r="F838" t="s">
        <v>78</v>
      </c>
    </row>
    <row r="839" spans="1:6" x14ac:dyDescent="0.3">
      <c r="A839" t="s">
        <v>1293</v>
      </c>
      <c r="B839" t="s">
        <v>1294</v>
      </c>
      <c r="C839" t="s">
        <v>1246</v>
      </c>
      <c r="D839">
        <v>8</v>
      </c>
      <c r="E839" t="s">
        <v>86</v>
      </c>
      <c r="F839" t="s">
        <v>92</v>
      </c>
    </row>
    <row r="840" spans="1:6" x14ac:dyDescent="0.3">
      <c r="A840" t="s">
        <v>1295</v>
      </c>
      <c r="B840" t="s">
        <v>917</v>
      </c>
      <c r="C840" t="s">
        <v>60</v>
      </c>
      <c r="D840">
        <v>7</v>
      </c>
      <c r="E840" t="s">
        <v>77</v>
      </c>
      <c r="F840" t="s">
        <v>83</v>
      </c>
    </row>
    <row r="841" spans="1:6" x14ac:dyDescent="0.3">
      <c r="A841" t="s">
        <v>1296</v>
      </c>
      <c r="B841" t="s">
        <v>175</v>
      </c>
      <c r="C841" t="s">
        <v>14</v>
      </c>
      <c r="D841">
        <v>14</v>
      </c>
      <c r="E841" t="s">
        <v>86</v>
      </c>
      <c r="F841" t="s">
        <v>83</v>
      </c>
    </row>
    <row r="842" spans="1:6" x14ac:dyDescent="0.3">
      <c r="A842" t="s">
        <v>1297</v>
      </c>
      <c r="B842" t="s">
        <v>406</v>
      </c>
      <c r="C842" t="s">
        <v>43</v>
      </c>
      <c r="D842">
        <v>8</v>
      </c>
      <c r="E842" t="s">
        <v>86</v>
      </c>
      <c r="F842" t="s">
        <v>83</v>
      </c>
    </row>
    <row r="843" spans="1:6" x14ac:dyDescent="0.3">
      <c r="A843" t="s">
        <v>1298</v>
      </c>
      <c r="B843" t="s">
        <v>1299</v>
      </c>
      <c r="C843" t="s">
        <v>24</v>
      </c>
      <c r="D843">
        <v>6</v>
      </c>
      <c r="E843" t="s">
        <v>77</v>
      </c>
      <c r="F843" t="s">
        <v>92</v>
      </c>
    </row>
    <row r="844" spans="1:6" x14ac:dyDescent="0.3">
      <c r="A844" t="s">
        <v>1300</v>
      </c>
      <c r="B844" t="s">
        <v>384</v>
      </c>
      <c r="C844" t="s">
        <v>7</v>
      </c>
      <c r="D844">
        <v>9</v>
      </c>
      <c r="E844" t="s">
        <v>91</v>
      </c>
      <c r="F844" t="s">
        <v>83</v>
      </c>
    </row>
    <row r="845" spans="1:6" x14ac:dyDescent="0.3">
      <c r="A845" t="s">
        <v>1301</v>
      </c>
      <c r="B845" t="s">
        <v>1269</v>
      </c>
      <c r="C845" t="s">
        <v>105</v>
      </c>
      <c r="D845">
        <v>10</v>
      </c>
      <c r="E845" t="s">
        <v>82</v>
      </c>
      <c r="F845" t="s">
        <v>78</v>
      </c>
    </row>
    <row r="846" spans="1:6" x14ac:dyDescent="0.3">
      <c r="A846" t="s">
        <v>1302</v>
      </c>
      <c r="B846" t="s">
        <v>1040</v>
      </c>
      <c r="C846" t="s">
        <v>937</v>
      </c>
      <c r="D846">
        <v>12</v>
      </c>
      <c r="E846" t="s">
        <v>77</v>
      </c>
      <c r="F846" t="s">
        <v>92</v>
      </c>
    </row>
    <row r="847" spans="1:6" x14ac:dyDescent="0.3">
      <c r="A847" t="s">
        <v>1303</v>
      </c>
      <c r="B847" t="s">
        <v>655</v>
      </c>
      <c r="C847" t="s">
        <v>10</v>
      </c>
      <c r="D847">
        <v>2</v>
      </c>
      <c r="E847" t="s">
        <v>91</v>
      </c>
      <c r="F847" t="s">
        <v>78</v>
      </c>
    </row>
    <row r="848" spans="1:6" x14ac:dyDescent="0.3">
      <c r="A848" t="s">
        <v>1304</v>
      </c>
      <c r="B848" t="s">
        <v>760</v>
      </c>
      <c r="C848" t="s">
        <v>66</v>
      </c>
      <c r="D848">
        <v>6</v>
      </c>
      <c r="E848" t="s">
        <v>86</v>
      </c>
      <c r="F848" t="s">
        <v>92</v>
      </c>
    </row>
    <row r="849" spans="1:6" x14ac:dyDescent="0.3">
      <c r="A849" t="s">
        <v>1305</v>
      </c>
      <c r="B849" t="s">
        <v>441</v>
      </c>
      <c r="C849" t="s">
        <v>22</v>
      </c>
      <c r="D849">
        <v>12</v>
      </c>
      <c r="E849" t="s">
        <v>77</v>
      </c>
      <c r="F849" t="s">
        <v>83</v>
      </c>
    </row>
    <row r="850" spans="1:6" x14ac:dyDescent="0.3">
      <c r="A850" t="s">
        <v>1306</v>
      </c>
      <c r="B850" t="s">
        <v>605</v>
      </c>
      <c r="C850" t="s">
        <v>26</v>
      </c>
      <c r="D850">
        <v>10</v>
      </c>
      <c r="E850" t="s">
        <v>77</v>
      </c>
      <c r="F850" t="s">
        <v>78</v>
      </c>
    </row>
    <row r="851" spans="1:6" x14ac:dyDescent="0.3">
      <c r="A851" t="s">
        <v>1307</v>
      </c>
      <c r="B851" t="s">
        <v>309</v>
      </c>
      <c r="C851" t="s">
        <v>41</v>
      </c>
      <c r="D851">
        <v>13</v>
      </c>
      <c r="E851" t="s">
        <v>86</v>
      </c>
      <c r="F851" t="s">
        <v>83</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DCEA9F-AE9A-4007-B17A-7879B4F28EBF}">
  <dimension ref="A1:D7"/>
  <sheetViews>
    <sheetView workbookViewId="0">
      <selection activeCell="C23" sqref="C23"/>
    </sheetView>
  </sheetViews>
  <sheetFormatPr defaultRowHeight="14.4" x14ac:dyDescent="0.3"/>
  <cols>
    <col min="1" max="1" width="17.88671875" bestFit="1" customWidth="1"/>
    <col min="2" max="2" width="10.77734375" bestFit="1" customWidth="1"/>
    <col min="3" max="3" width="11.44140625" bestFit="1" customWidth="1"/>
    <col min="4" max="4" width="13.5546875" bestFit="1" customWidth="1"/>
    <col min="5" max="5" width="10.77734375" bestFit="1" customWidth="1"/>
    <col min="6" max="6" width="21.33203125" bestFit="1" customWidth="1"/>
    <col min="7" max="7" width="16.6640625" bestFit="1" customWidth="1"/>
    <col min="8" max="8" width="21.88671875" bestFit="1" customWidth="1"/>
    <col min="9" max="9" width="18.21875" bestFit="1" customWidth="1"/>
    <col min="10" max="10" width="19.44140625" bestFit="1" customWidth="1"/>
    <col min="11" max="11" width="20.77734375" bestFit="1" customWidth="1"/>
    <col min="12" max="12" width="19.5546875" bestFit="1" customWidth="1"/>
    <col min="13" max="13" width="20.44140625" bestFit="1" customWidth="1"/>
    <col min="14" max="14" width="14.77734375" bestFit="1" customWidth="1"/>
    <col min="15" max="15" width="19.88671875" bestFit="1" customWidth="1"/>
    <col min="16" max="16" width="17" bestFit="1" customWidth="1"/>
    <col min="17" max="17" width="16.88671875" bestFit="1" customWidth="1"/>
    <col min="18" max="18" width="17.21875" bestFit="1" customWidth="1"/>
    <col min="19" max="19" width="24" bestFit="1" customWidth="1"/>
    <col min="20" max="20" width="20.33203125" bestFit="1" customWidth="1"/>
    <col min="21" max="21" width="19.44140625" bestFit="1" customWidth="1"/>
    <col min="22" max="22" width="18.33203125" bestFit="1" customWidth="1"/>
    <col min="23" max="23" width="26.109375" bestFit="1" customWidth="1"/>
    <col min="24" max="24" width="22.33203125" bestFit="1" customWidth="1"/>
    <col min="25" max="26" width="22.21875" bestFit="1" customWidth="1"/>
    <col min="27" max="27" width="20.5546875" bestFit="1" customWidth="1"/>
    <col min="28" max="28" width="16.21875" bestFit="1" customWidth="1"/>
    <col min="29" max="29" width="20.77734375" bestFit="1" customWidth="1"/>
    <col min="30" max="30" width="24.5546875" bestFit="1" customWidth="1"/>
    <col min="31" max="31" width="19.88671875" bestFit="1" customWidth="1"/>
    <col min="32" max="32" width="10.77734375" bestFit="1" customWidth="1"/>
  </cols>
  <sheetData>
    <row r="1" spans="1:4" x14ac:dyDescent="0.3">
      <c r="A1" t="s">
        <v>1330</v>
      </c>
    </row>
    <row r="3" spans="1:4" x14ac:dyDescent="0.3">
      <c r="A3" s="3" t="s">
        <v>1329</v>
      </c>
      <c r="B3" s="3" t="s">
        <v>2</v>
      </c>
    </row>
    <row r="4" spans="1:4" x14ac:dyDescent="0.3">
      <c r="A4" s="3" t="s">
        <v>1323</v>
      </c>
      <c r="B4" t="s">
        <v>9</v>
      </c>
      <c r="C4" t="s">
        <v>51</v>
      </c>
      <c r="D4" t="s">
        <v>30</v>
      </c>
    </row>
    <row r="5" spans="1:4" x14ac:dyDescent="0.3">
      <c r="A5" t="s">
        <v>1326</v>
      </c>
      <c r="B5" s="6">
        <v>3</v>
      </c>
      <c r="C5" s="6">
        <v>1</v>
      </c>
      <c r="D5" s="6"/>
    </row>
    <row r="6" spans="1:4" x14ac:dyDescent="0.3">
      <c r="A6" t="s">
        <v>1327</v>
      </c>
      <c r="B6" s="6">
        <v>1</v>
      </c>
      <c r="C6" s="6">
        <v>3</v>
      </c>
      <c r="D6" s="6">
        <v>3</v>
      </c>
    </row>
    <row r="7" spans="1:4" x14ac:dyDescent="0.3">
      <c r="A7" t="s">
        <v>1328</v>
      </c>
      <c r="B7" s="6">
        <v>6</v>
      </c>
      <c r="C7" s="6">
        <v>6</v>
      </c>
      <c r="D7" s="6">
        <v>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FD3B0C-A157-4ED2-818C-E8FD66EC2E2D}">
  <dimension ref="A3:N49"/>
  <sheetViews>
    <sheetView workbookViewId="0">
      <selection activeCell="B24" sqref="B24"/>
    </sheetView>
  </sheetViews>
  <sheetFormatPr defaultRowHeight="14.4" x14ac:dyDescent="0.3"/>
  <cols>
    <col min="1" max="1" width="12.5546875" bestFit="1" customWidth="1"/>
    <col min="2" max="2" width="15.5546875" bestFit="1" customWidth="1"/>
    <col min="5" max="5" width="12.5546875" bestFit="1" customWidth="1"/>
    <col min="6" max="6" width="19.109375" bestFit="1" customWidth="1"/>
    <col min="9" max="9" width="25.21875" bestFit="1" customWidth="1"/>
    <col min="10" max="10" width="15.21875" bestFit="1" customWidth="1"/>
    <col min="11" max="11" width="25.21875" bestFit="1" customWidth="1"/>
    <col min="12" max="12" width="15.21875" bestFit="1" customWidth="1"/>
    <col min="14" max="14" width="12.109375" bestFit="1" customWidth="1"/>
  </cols>
  <sheetData>
    <row r="3" spans="1:14" x14ac:dyDescent="0.3">
      <c r="A3" s="3" t="s">
        <v>1324</v>
      </c>
      <c r="B3" t="s">
        <v>1335</v>
      </c>
      <c r="E3" s="3" t="s">
        <v>1324</v>
      </c>
      <c r="F3" t="s">
        <v>1336</v>
      </c>
    </row>
    <row r="4" spans="1:14" x14ac:dyDescent="0.3">
      <c r="A4" s="4" t="s">
        <v>1337</v>
      </c>
      <c r="B4" s="6">
        <v>83596.759999999966</v>
      </c>
      <c r="E4" s="4" t="s">
        <v>7</v>
      </c>
      <c r="F4" s="6">
        <v>136</v>
      </c>
      <c r="N4" t="s">
        <v>1349</v>
      </c>
    </row>
    <row r="5" spans="1:14" x14ac:dyDescent="0.3">
      <c r="A5" s="4" t="s">
        <v>1338</v>
      </c>
      <c r="B5" s="6">
        <v>66818.900000000009</v>
      </c>
      <c r="E5" s="4" t="s">
        <v>28</v>
      </c>
      <c r="F5" s="6">
        <v>312</v>
      </c>
      <c r="K5" s="3" t="s">
        <v>1324</v>
      </c>
      <c r="L5" t="s">
        <v>1348</v>
      </c>
      <c r="N5" s="6">
        <v>354752.4499999999</v>
      </c>
    </row>
    <row r="6" spans="1:14" x14ac:dyDescent="0.3">
      <c r="A6" s="4" t="s">
        <v>1339</v>
      </c>
      <c r="B6" s="6">
        <v>66294.770000000019</v>
      </c>
      <c r="E6" s="4" t="s">
        <v>10</v>
      </c>
      <c r="F6" s="6">
        <v>189</v>
      </c>
      <c r="K6" s="4" t="s">
        <v>42</v>
      </c>
      <c r="L6" s="6">
        <v>14</v>
      </c>
    </row>
    <row r="7" spans="1:14" x14ac:dyDescent="0.3">
      <c r="A7" s="4" t="s">
        <v>1340</v>
      </c>
      <c r="B7" s="6">
        <v>48286.390000000007</v>
      </c>
      <c r="E7" s="4" t="s">
        <v>31</v>
      </c>
      <c r="F7" s="6">
        <v>193</v>
      </c>
      <c r="K7" s="4" t="s">
        <v>15</v>
      </c>
      <c r="L7" s="6">
        <v>12</v>
      </c>
    </row>
    <row r="8" spans="1:14" x14ac:dyDescent="0.3">
      <c r="A8" s="4" t="s">
        <v>1341</v>
      </c>
      <c r="B8" s="6">
        <v>66593.800000000032</v>
      </c>
      <c r="E8" s="4" t="s">
        <v>12</v>
      </c>
      <c r="F8" s="6">
        <v>199</v>
      </c>
      <c r="K8" s="4" t="s">
        <v>57</v>
      </c>
      <c r="L8" s="6">
        <v>11.5</v>
      </c>
    </row>
    <row r="9" spans="1:14" x14ac:dyDescent="0.3">
      <c r="A9" s="4" t="s">
        <v>1342</v>
      </c>
      <c r="B9" s="6">
        <v>51588.98</v>
      </c>
      <c r="E9" s="4" t="s">
        <v>14</v>
      </c>
      <c r="F9" s="6">
        <v>175</v>
      </c>
      <c r="K9" s="4" t="s">
        <v>8</v>
      </c>
      <c r="L9" s="6">
        <v>15</v>
      </c>
    </row>
    <row r="10" spans="1:14" x14ac:dyDescent="0.3">
      <c r="A10" s="4" t="s">
        <v>1343</v>
      </c>
      <c r="B10" s="6">
        <v>48436.070000000022</v>
      </c>
      <c r="E10" s="4" t="s">
        <v>33</v>
      </c>
      <c r="F10" s="6">
        <v>303</v>
      </c>
      <c r="K10" s="4" t="s">
        <v>34</v>
      </c>
      <c r="L10" s="6">
        <v>8</v>
      </c>
    </row>
    <row r="11" spans="1:14" x14ac:dyDescent="0.3">
      <c r="A11" s="4" t="s">
        <v>1344</v>
      </c>
      <c r="B11" s="6">
        <v>53865.290000000008</v>
      </c>
      <c r="E11" s="4" t="s">
        <v>49</v>
      </c>
      <c r="F11" s="6">
        <v>253</v>
      </c>
      <c r="K11" s="4" t="s">
        <v>21</v>
      </c>
      <c r="L11" s="6">
        <v>30</v>
      </c>
    </row>
    <row r="12" spans="1:14" x14ac:dyDescent="0.3">
      <c r="A12" s="4" t="s">
        <v>1345</v>
      </c>
      <c r="B12" s="6">
        <v>20251.349999999999</v>
      </c>
      <c r="E12" s="4" t="s">
        <v>16</v>
      </c>
      <c r="F12" s="6">
        <v>261</v>
      </c>
      <c r="K12" s="4" t="s">
        <v>65</v>
      </c>
      <c r="L12" s="6">
        <v>6</v>
      </c>
    </row>
    <row r="13" spans="1:14" x14ac:dyDescent="0.3">
      <c r="A13" s="4" t="s">
        <v>1346</v>
      </c>
      <c r="B13" s="6">
        <v>66879.14</v>
      </c>
      <c r="E13" s="4" t="s">
        <v>52</v>
      </c>
      <c r="F13" s="6">
        <v>193</v>
      </c>
      <c r="K13" s="4" t="s">
        <v>1315</v>
      </c>
      <c r="L13" s="6">
        <v>2.5</v>
      </c>
    </row>
    <row r="14" spans="1:14" x14ac:dyDescent="0.3">
      <c r="A14" s="4" t="s">
        <v>1325</v>
      </c>
      <c r="B14" s="6">
        <v>572611.45000000007</v>
      </c>
      <c r="E14" s="4" t="s">
        <v>18</v>
      </c>
      <c r="F14" s="6">
        <v>175</v>
      </c>
      <c r="K14" s="4" t="s">
        <v>38</v>
      </c>
      <c r="L14" s="6">
        <v>18</v>
      </c>
    </row>
    <row r="15" spans="1:14" x14ac:dyDescent="0.3">
      <c r="E15" s="4" t="s">
        <v>20</v>
      </c>
      <c r="F15" s="6">
        <v>225</v>
      </c>
      <c r="K15" s="4" t="s">
        <v>23</v>
      </c>
      <c r="L15" s="6">
        <v>45</v>
      </c>
    </row>
    <row r="16" spans="1:14" x14ac:dyDescent="0.3">
      <c r="E16" s="4" t="s">
        <v>22</v>
      </c>
      <c r="F16" s="6">
        <v>194</v>
      </c>
      <c r="K16" s="4" t="s">
        <v>55</v>
      </c>
      <c r="L16" s="6">
        <v>140</v>
      </c>
    </row>
    <row r="17" spans="1:12" x14ac:dyDescent="0.3">
      <c r="E17" s="4" t="s">
        <v>24</v>
      </c>
      <c r="F17" s="6">
        <v>246</v>
      </c>
      <c r="K17" s="4" t="s">
        <v>29</v>
      </c>
      <c r="L17" s="6">
        <v>65</v>
      </c>
    </row>
    <row r="18" spans="1:12" x14ac:dyDescent="0.3">
      <c r="E18" s="4" t="s">
        <v>26</v>
      </c>
      <c r="F18" s="6">
        <v>231</v>
      </c>
      <c r="I18" s="3" t="s">
        <v>1324</v>
      </c>
      <c r="J18" t="s">
        <v>1348</v>
      </c>
      <c r="K18" s="4" t="s">
        <v>1312</v>
      </c>
      <c r="L18" s="6">
        <v>55</v>
      </c>
    </row>
    <row r="19" spans="1:12" x14ac:dyDescent="0.3">
      <c r="E19" s="4" t="s">
        <v>35</v>
      </c>
      <c r="F19" s="6">
        <v>213</v>
      </c>
      <c r="I19" s="4" t="s">
        <v>42</v>
      </c>
      <c r="J19" s="6">
        <v>14</v>
      </c>
      <c r="K19" s="4" t="s">
        <v>1316</v>
      </c>
      <c r="L19" s="6">
        <v>6</v>
      </c>
    </row>
    <row r="20" spans="1:12" x14ac:dyDescent="0.3">
      <c r="E20" s="4" t="s">
        <v>37</v>
      </c>
      <c r="F20" s="6">
        <v>172</v>
      </c>
      <c r="I20" s="4" t="s">
        <v>15</v>
      </c>
      <c r="J20" s="6">
        <v>12</v>
      </c>
      <c r="K20" s="4" t="s">
        <v>1314</v>
      </c>
      <c r="L20" s="6">
        <v>3</v>
      </c>
    </row>
    <row r="21" spans="1:12" x14ac:dyDescent="0.3">
      <c r="E21" s="4" t="s">
        <v>39</v>
      </c>
      <c r="F21" s="6">
        <v>263</v>
      </c>
      <c r="I21" s="4" t="s">
        <v>57</v>
      </c>
      <c r="J21" s="6">
        <v>11.5</v>
      </c>
      <c r="K21" s="4" t="s">
        <v>1311</v>
      </c>
      <c r="L21" s="6">
        <v>25</v>
      </c>
    </row>
    <row r="22" spans="1:12" x14ac:dyDescent="0.3">
      <c r="A22" s="3" t="s">
        <v>1324</v>
      </c>
      <c r="B22" t="s">
        <v>1349</v>
      </c>
      <c r="E22" s="4" t="s">
        <v>41</v>
      </c>
      <c r="F22" s="6">
        <v>220</v>
      </c>
      <c r="I22" s="4" t="s">
        <v>8</v>
      </c>
      <c r="J22" s="6">
        <v>15</v>
      </c>
      <c r="K22" s="4" t="s">
        <v>40</v>
      </c>
      <c r="L22" s="6">
        <v>7.5</v>
      </c>
    </row>
    <row r="23" spans="1:12" x14ac:dyDescent="0.3">
      <c r="A23" s="4" t="s">
        <v>9</v>
      </c>
      <c r="B23" s="6">
        <v>178534.29</v>
      </c>
      <c r="E23" s="4" t="s">
        <v>43</v>
      </c>
      <c r="F23" s="6">
        <v>277</v>
      </c>
      <c r="I23" s="4" t="s">
        <v>34</v>
      </c>
      <c r="J23" s="6">
        <v>8</v>
      </c>
      <c r="K23" s="4" t="s">
        <v>1317</v>
      </c>
      <c r="L23" s="6">
        <v>18</v>
      </c>
    </row>
    <row r="24" spans="1:12" x14ac:dyDescent="0.3">
      <c r="A24" s="4" t="s">
        <v>51</v>
      </c>
      <c r="B24" s="6">
        <v>92428.24000000002</v>
      </c>
      <c r="E24" s="4" t="s">
        <v>45</v>
      </c>
      <c r="F24" s="6">
        <v>157</v>
      </c>
      <c r="I24" s="4" t="s">
        <v>21</v>
      </c>
      <c r="J24" s="6">
        <v>30</v>
      </c>
      <c r="K24" s="4" t="s">
        <v>63</v>
      </c>
      <c r="L24" s="6">
        <v>9.5</v>
      </c>
    </row>
    <row r="25" spans="1:12" x14ac:dyDescent="0.3">
      <c r="A25" s="4" t="s">
        <v>30</v>
      </c>
      <c r="B25" s="6">
        <v>83789.920000000013</v>
      </c>
      <c r="E25" s="4" t="s">
        <v>47</v>
      </c>
      <c r="F25" s="6">
        <v>255</v>
      </c>
      <c r="I25" s="4" t="s">
        <v>65</v>
      </c>
      <c r="J25" s="6">
        <v>6</v>
      </c>
      <c r="K25" s="4" t="s">
        <v>13</v>
      </c>
      <c r="L25" s="6">
        <v>40</v>
      </c>
    </row>
    <row r="26" spans="1:12" x14ac:dyDescent="0.3">
      <c r="A26" s="4" t="s">
        <v>1325</v>
      </c>
      <c r="B26" s="6">
        <v>354752.45000000007</v>
      </c>
      <c r="E26" s="4" t="s">
        <v>54</v>
      </c>
      <c r="F26" s="6">
        <v>206</v>
      </c>
      <c r="I26" s="4" t="s">
        <v>1315</v>
      </c>
      <c r="J26" s="6">
        <v>2.5</v>
      </c>
      <c r="K26" s="4" t="s">
        <v>59</v>
      </c>
      <c r="L26" s="6">
        <v>22</v>
      </c>
    </row>
    <row r="27" spans="1:12" x14ac:dyDescent="0.3">
      <c r="E27" s="4" t="s">
        <v>56</v>
      </c>
      <c r="F27" s="6">
        <v>102</v>
      </c>
      <c r="I27" s="4" t="s">
        <v>38</v>
      </c>
      <c r="J27" s="6">
        <v>18</v>
      </c>
      <c r="K27" s="4" t="s">
        <v>17</v>
      </c>
      <c r="L27" s="6">
        <v>85</v>
      </c>
    </row>
    <row r="28" spans="1:12" x14ac:dyDescent="0.3">
      <c r="E28" s="4" t="s">
        <v>58</v>
      </c>
      <c r="F28" s="6">
        <v>127</v>
      </c>
      <c r="I28" s="4" t="s">
        <v>23</v>
      </c>
      <c r="J28" s="6">
        <v>45</v>
      </c>
      <c r="K28" s="4" t="s">
        <v>32</v>
      </c>
      <c r="L28" s="6">
        <v>4.5</v>
      </c>
    </row>
    <row r="29" spans="1:12" x14ac:dyDescent="0.3">
      <c r="E29" s="4" t="s">
        <v>60</v>
      </c>
      <c r="F29" s="6">
        <v>249</v>
      </c>
      <c r="I29" s="4" t="s">
        <v>55</v>
      </c>
      <c r="J29" s="6">
        <v>140</v>
      </c>
      <c r="K29" s="4" t="s">
        <v>1319</v>
      </c>
      <c r="L29" s="6">
        <v>16</v>
      </c>
    </row>
    <row r="30" spans="1:12" x14ac:dyDescent="0.3">
      <c r="E30" s="4" t="s">
        <v>62</v>
      </c>
      <c r="F30" s="6">
        <v>95</v>
      </c>
      <c r="I30" s="4" t="s">
        <v>29</v>
      </c>
      <c r="J30" s="6">
        <v>65</v>
      </c>
      <c r="K30" s="4" t="s">
        <v>1318</v>
      </c>
      <c r="L30" s="6">
        <v>13</v>
      </c>
    </row>
    <row r="31" spans="1:12" x14ac:dyDescent="0.3">
      <c r="E31" s="4" t="s">
        <v>64</v>
      </c>
      <c r="F31" s="6">
        <v>281</v>
      </c>
      <c r="I31" s="4" t="s">
        <v>1312</v>
      </c>
      <c r="J31" s="6">
        <v>55</v>
      </c>
      <c r="K31" s="4" t="s">
        <v>48</v>
      </c>
      <c r="L31" s="6">
        <v>45</v>
      </c>
    </row>
    <row r="32" spans="1:12" x14ac:dyDescent="0.3">
      <c r="E32" s="4" t="s">
        <v>66</v>
      </c>
      <c r="F32" s="6">
        <v>315</v>
      </c>
      <c r="I32" s="4" t="s">
        <v>1316</v>
      </c>
      <c r="J32" s="6">
        <v>6</v>
      </c>
      <c r="K32" s="4" t="s">
        <v>53</v>
      </c>
      <c r="L32" s="6">
        <v>9</v>
      </c>
    </row>
    <row r="33" spans="5:12" x14ac:dyDescent="0.3">
      <c r="E33" s="4" t="s">
        <v>68</v>
      </c>
      <c r="F33" s="6">
        <v>153</v>
      </c>
      <c r="I33" s="4" t="s">
        <v>1314</v>
      </c>
      <c r="J33" s="6">
        <v>3</v>
      </c>
      <c r="K33" s="4" t="s">
        <v>1310</v>
      </c>
      <c r="L33" s="6">
        <v>210</v>
      </c>
    </row>
    <row r="34" spans="5:12" x14ac:dyDescent="0.3">
      <c r="E34" s="4" t="s">
        <v>1325</v>
      </c>
      <c r="F34" s="6">
        <v>6370</v>
      </c>
      <c r="I34" s="4" t="s">
        <v>1311</v>
      </c>
      <c r="J34" s="6">
        <v>25</v>
      </c>
      <c r="K34" s="4" t="s">
        <v>61</v>
      </c>
      <c r="L34" s="6">
        <v>35</v>
      </c>
    </row>
    <row r="35" spans="5:12" x14ac:dyDescent="0.3">
      <c r="I35" s="4" t="s">
        <v>40</v>
      </c>
      <c r="J35" s="6">
        <v>7.5</v>
      </c>
      <c r="K35" s="4" t="s">
        <v>1313</v>
      </c>
      <c r="L35" s="6">
        <v>35</v>
      </c>
    </row>
    <row r="36" spans="5:12" x14ac:dyDescent="0.3">
      <c r="I36" s="4" t="s">
        <v>1317</v>
      </c>
      <c r="J36" s="6">
        <v>18</v>
      </c>
      <c r="K36" s="4" t="s">
        <v>1325</v>
      </c>
      <c r="L36" s="6">
        <v>1005.5</v>
      </c>
    </row>
    <row r="37" spans="5:12" x14ac:dyDescent="0.3">
      <c r="I37" s="4" t="s">
        <v>63</v>
      </c>
      <c r="J37" s="6">
        <v>9.5</v>
      </c>
    </row>
    <row r="38" spans="5:12" x14ac:dyDescent="0.3">
      <c r="I38" s="4" t="s">
        <v>13</v>
      </c>
      <c r="J38" s="6">
        <v>40</v>
      </c>
    </row>
    <row r="39" spans="5:12" x14ac:dyDescent="0.3">
      <c r="I39" s="4" t="s">
        <v>59</v>
      </c>
      <c r="J39" s="6">
        <v>22</v>
      </c>
    </row>
    <row r="40" spans="5:12" x14ac:dyDescent="0.3">
      <c r="I40" s="4" t="s">
        <v>17</v>
      </c>
      <c r="J40" s="6">
        <v>85</v>
      </c>
    </row>
    <row r="41" spans="5:12" x14ac:dyDescent="0.3">
      <c r="I41" s="4" t="s">
        <v>32</v>
      </c>
      <c r="J41" s="6">
        <v>4.5</v>
      </c>
    </row>
    <row r="42" spans="5:12" x14ac:dyDescent="0.3">
      <c r="I42" s="4" t="s">
        <v>1319</v>
      </c>
      <c r="J42" s="6">
        <v>16</v>
      </c>
    </row>
    <row r="43" spans="5:12" x14ac:dyDescent="0.3">
      <c r="I43" s="4" t="s">
        <v>1318</v>
      </c>
      <c r="J43" s="6">
        <v>13</v>
      </c>
    </row>
    <row r="44" spans="5:12" x14ac:dyDescent="0.3">
      <c r="I44" s="4" t="s">
        <v>48</v>
      </c>
      <c r="J44" s="6">
        <v>45</v>
      </c>
    </row>
    <row r="45" spans="5:12" x14ac:dyDescent="0.3">
      <c r="I45" s="4" t="s">
        <v>53</v>
      </c>
      <c r="J45" s="6">
        <v>9</v>
      </c>
    </row>
    <row r="46" spans="5:12" x14ac:dyDescent="0.3">
      <c r="I46" s="4" t="s">
        <v>1310</v>
      </c>
      <c r="J46" s="6">
        <v>210</v>
      </c>
    </row>
    <row r="47" spans="5:12" x14ac:dyDescent="0.3">
      <c r="I47" s="4" t="s">
        <v>61</v>
      </c>
      <c r="J47" s="6">
        <v>35</v>
      </c>
    </row>
    <row r="48" spans="5:12" x14ac:dyDescent="0.3">
      <c r="I48" s="4" t="s">
        <v>1313</v>
      </c>
      <c r="J48" s="6">
        <v>35</v>
      </c>
    </row>
    <row r="49" spans="9:10" x14ac:dyDescent="0.3">
      <c r="I49" s="4" t="s">
        <v>1325</v>
      </c>
      <c r="J49" s="6">
        <v>1005.5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D9FF98-4601-44F6-9482-2EF54CB3E9BD}">
  <dimension ref="A3:E7"/>
  <sheetViews>
    <sheetView workbookViewId="0">
      <selection activeCell="D25" sqref="D25"/>
    </sheetView>
  </sheetViews>
  <sheetFormatPr defaultRowHeight="14.4" x14ac:dyDescent="0.3"/>
  <cols>
    <col min="1" max="1" width="12.5546875" bestFit="1" customWidth="1"/>
    <col min="2" max="2" width="15.5546875" bestFit="1" customWidth="1"/>
    <col min="3" max="3" width="19.109375" bestFit="1" customWidth="1"/>
    <col min="4" max="4" width="12.5546875" bestFit="1" customWidth="1"/>
    <col min="5" max="5" width="19.109375" bestFit="1" customWidth="1"/>
  </cols>
  <sheetData>
    <row r="3" spans="1:5" x14ac:dyDescent="0.3">
      <c r="A3" s="3" t="s">
        <v>1324</v>
      </c>
      <c r="B3" t="s">
        <v>1335</v>
      </c>
      <c r="D3" s="3" t="s">
        <v>1324</v>
      </c>
      <c r="E3" t="s">
        <v>1336</v>
      </c>
    </row>
    <row r="4" spans="1:5" x14ac:dyDescent="0.3">
      <c r="A4" s="4" t="s">
        <v>83</v>
      </c>
      <c r="B4" s="6">
        <v>179849.67999999996</v>
      </c>
      <c r="D4" s="4" t="s">
        <v>83</v>
      </c>
      <c r="E4" s="6">
        <v>2073</v>
      </c>
    </row>
    <row r="5" spans="1:5" x14ac:dyDescent="0.3">
      <c r="A5" s="4" t="s">
        <v>78</v>
      </c>
      <c r="B5" s="6">
        <v>192529.8400000002</v>
      </c>
      <c r="D5" s="4" t="s">
        <v>92</v>
      </c>
      <c r="E5" s="6">
        <v>2196</v>
      </c>
    </row>
    <row r="6" spans="1:5" x14ac:dyDescent="0.3">
      <c r="A6" s="4" t="s">
        <v>92</v>
      </c>
      <c r="B6" s="6">
        <v>200231.93000000008</v>
      </c>
      <c r="D6" s="4" t="s">
        <v>78</v>
      </c>
      <c r="E6" s="6">
        <v>2101</v>
      </c>
    </row>
    <row r="7" spans="1:5" x14ac:dyDescent="0.3">
      <c r="A7" s="4" t="s">
        <v>1325</v>
      </c>
      <c r="B7" s="6">
        <v>572611.45000000019</v>
      </c>
      <c r="D7" s="4" t="s">
        <v>1325</v>
      </c>
      <c r="E7" s="6">
        <v>6370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Props1.xml><?xml version="1.0" encoding="utf-8"?>
<ds:datastoreItem xmlns:ds="http://schemas.openxmlformats.org/officeDocument/2006/customXml" ds:itemID="{6870D6B4-C4D1-454D-8920-EBDD643B400F}">
  <ds:schemaRefs/>
</ds:datastoreItem>
</file>

<file path=customXml/itemProps2.xml><?xml version="1.0" encoding="utf-8"?>
<ds:datastoreItem xmlns:ds="http://schemas.openxmlformats.org/officeDocument/2006/customXml" ds:itemID="{C3443C40-2F8A-4E0A-AE70-13677C302840}">
  <ds:schemaRefs/>
</ds:datastoreItem>
</file>

<file path=customXml/itemProps3.xml><?xml version="1.0" encoding="utf-8"?>
<ds:datastoreItem xmlns:ds="http://schemas.openxmlformats.org/officeDocument/2006/customXml" ds:itemID="{63C13E8A-3B87-4382-AE42-4AFC186F23CC}">
  <ds:schemaRefs/>
</ds:datastoreItem>
</file>

<file path=customXml/itemProps4.xml><?xml version="1.0" encoding="utf-8"?>
<ds:datastoreItem xmlns:ds="http://schemas.openxmlformats.org/officeDocument/2006/customXml" ds:itemID="{1066F64E-BCAF-415E-813B-D75949DDFF26}">
  <ds:schemaRefs/>
</ds:datastoreItem>
</file>

<file path=customXml/itemProps5.xml><?xml version="1.0" encoding="utf-8"?>
<ds:datastoreItem xmlns:ds="http://schemas.openxmlformats.org/officeDocument/2006/customXml" ds:itemID="{9273E21A-263E-4EED-BA8A-48C357B81C29}">
  <ds:schemaRefs/>
</ds:datastoreItem>
</file>

<file path=customXml/itemProps6.xml><?xml version="1.0" encoding="utf-8"?>
<ds:datastoreItem xmlns:ds="http://schemas.openxmlformats.org/officeDocument/2006/customXml" ds:itemID="{F165E9D0-B2F7-4772-BDC1-E3A9A53695A8}">
  <ds:schemaRefs/>
</ds:datastoreItem>
</file>

<file path=customXml/itemProps7.xml><?xml version="1.0" encoding="utf-8"?>
<ds:datastoreItem xmlns:ds="http://schemas.openxmlformats.org/officeDocument/2006/customXml" ds:itemID="{E24851A5-7A91-4B39-97C1-082180BC5968}">
  <ds:schemaRefs/>
</ds:datastoreItem>
</file>

<file path=customXml/itemProps8.xml><?xml version="1.0" encoding="utf-8"?>
<ds:datastoreItem xmlns:ds="http://schemas.openxmlformats.org/officeDocument/2006/customXml" ds:itemID="{DD135FC9-4A1D-49BC-ABAF-F548D3219992}">
  <ds:schemaRefs/>
</ds:datastoreItem>
</file>

<file path=customXml/itemProps9.xml><?xml version="1.0" encoding="utf-8"?>
<ds:datastoreItem xmlns:ds="http://schemas.openxmlformats.org/officeDocument/2006/customXml" ds:itemID="{2B6FDE17-7340-4567-BE22-692B53CFD739}">
  <ds:schemaRefs/>
</ds:datastoreItem>
</file>

<file path=customXml/itemProps10.xml><?xml version="1.0" encoding="utf-8"?>
<ds:datastoreItem xmlns:ds="http://schemas.openxmlformats.org/officeDocument/2006/customXml" ds:itemID="{6D3B1983-D483-4452-AB1D-3B1E3E8F89E0}">
  <ds:schemaRefs/>
</ds:datastoreItem>
</file>

<file path=customXml/itemProps11.xml><?xml version="1.0" encoding="utf-8"?>
<ds:datastoreItem xmlns:ds="http://schemas.openxmlformats.org/officeDocument/2006/customXml" ds:itemID="{EC436A7A-9C8C-4507-B2B9-2E6A9EF011D8}">
  <ds:schemaRefs/>
</ds:datastoreItem>
</file>

<file path=customXml/itemProps12.xml><?xml version="1.0" encoding="utf-8"?>
<ds:datastoreItem xmlns:ds="http://schemas.openxmlformats.org/officeDocument/2006/customXml" ds:itemID="{7CD1812D-3D69-4DF8-8E84-A179CEAC3FC6}">
  <ds:schemaRefs/>
</ds:datastoreItem>
</file>

<file path=customXml/itemProps13.xml><?xml version="1.0" encoding="utf-8"?>
<ds:datastoreItem xmlns:ds="http://schemas.openxmlformats.org/officeDocument/2006/customXml" ds:itemID="{EA3BFF8C-86F9-46CF-907A-E500F27137EB}">
  <ds:schemaRefs/>
</ds:datastoreItem>
</file>

<file path=customXml/itemProps14.xml><?xml version="1.0" encoding="utf-8"?>
<ds:datastoreItem xmlns:ds="http://schemas.openxmlformats.org/officeDocument/2006/customXml" ds:itemID="{626FD650-BEF8-4FB7-939C-0574306E6854}">
  <ds:schemaRefs/>
</ds:datastoreItem>
</file>

<file path=customXml/itemProps15.xml><?xml version="1.0" encoding="utf-8"?>
<ds:datastoreItem xmlns:ds="http://schemas.openxmlformats.org/officeDocument/2006/customXml" ds:itemID="{B61BEFB1-B29E-44BE-ABAC-0A4762CF8C5C}">
  <ds:schemaRefs/>
</ds:datastoreItem>
</file>

<file path=customXml/itemProps16.xml><?xml version="1.0" encoding="utf-8"?>
<ds:datastoreItem xmlns:ds="http://schemas.openxmlformats.org/officeDocument/2006/customXml" ds:itemID="{16CB2EE7-C099-46AB-9465-D433FBBCCDBA}">
  <ds:schemaRefs/>
</ds:datastoreItem>
</file>

<file path=customXml/itemProps17.xml><?xml version="1.0" encoding="utf-8"?>
<ds:datastoreItem xmlns:ds="http://schemas.openxmlformats.org/officeDocument/2006/customXml" ds:itemID="{EB7F51FD-6AA8-409C-B387-9FC675E8E3A6}">
  <ds:schemaRefs/>
</ds:datastoreItem>
</file>

<file path=customXml/itemProps18.xml><?xml version="1.0" encoding="utf-8"?>
<ds:datastoreItem xmlns:ds="http://schemas.openxmlformats.org/officeDocument/2006/customXml" ds:itemID="{4216D15F-2769-4B8E-910F-61D9667DFD49}">
  <ds:schemaRefs/>
</ds:datastoreItem>
</file>

<file path=customXml/itemProps19.xml><?xml version="1.0" encoding="utf-8"?>
<ds:datastoreItem xmlns:ds="http://schemas.openxmlformats.org/officeDocument/2006/customXml" ds:itemID="{82F4CBAB-4ECE-4455-9733-979312F19DE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vt:i4>
      </vt:variant>
    </vt:vector>
  </HeadingPairs>
  <TitlesOfParts>
    <vt:vector size="9" baseType="lpstr">
      <vt:lpstr>Dashboard</vt:lpstr>
      <vt:lpstr>Clean_Sales_Data</vt:lpstr>
      <vt:lpstr>Clean_Inventry_Master</vt:lpstr>
      <vt:lpstr>Raw_Inventory_Master</vt:lpstr>
      <vt:lpstr>Raw_Sales_Data</vt:lpstr>
      <vt:lpstr>chart 1</vt:lpstr>
      <vt:lpstr>monthly revenue</vt:lpstr>
      <vt:lpstr>sales channel revenue</vt:lpstr>
      <vt:lpstr>chart5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yogita gupta</cp:lastModifiedBy>
  <dcterms:created xsi:type="dcterms:W3CDTF">2026-10-10T05:21:18Z</dcterms:created>
  <dcterms:modified xsi:type="dcterms:W3CDTF">2026-10-11T10:52:24Z</dcterms:modified>
</cp:coreProperties>
</file>